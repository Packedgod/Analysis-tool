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7610A64D-1B0E-4A91-BFE7-22368ADF5D0E}" xr6:coauthVersionLast="47" xr6:coauthVersionMax="47" xr10:uidLastSave="{00000000-0000-0000-0000-000000000000}"/>
  <bookViews>
    <workbookView xWindow="-110" yWindow="-110" windowWidth="19420" windowHeight="10300" tabRatio="874" firstSheet="4" activeTab="7" xr2:uid="{00000000-000D-0000-FFFF-FFFF00000000}"/>
  </bookViews>
  <sheets>
    <sheet name="Dashboard" sheetId="1" r:id="rId1"/>
    <sheet name="Indicator Dashboard" sheetId="2" r:id="rId2"/>
    <sheet name="Global Overlay" sheetId="3" r:id="rId3"/>
    <sheet name="Cycle Placement" sheetId="4" r:id="rId4"/>
    <sheet name="Linkage Map" sheetId="5" r:id="rId5"/>
    <sheet name="Positioning" sheetId="6" r:id="rId6"/>
    <sheet name="Triggers &amp; Caveats" sheetId="7" r:id="rId7"/>
    <sheet name="Stock Macro Lens" sheetId="14" r:id="rId8"/>
    <sheet name="prompt" sheetId="10"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2" i="14" l="1"/>
  <c r="C16" i="14"/>
  <c r="G3" i="6" l="1"/>
  <c r="F3" i="6"/>
  <c r="C11" i="4"/>
  <c r="C10" i="4"/>
  <c r="C12" i="4" s="1"/>
  <c r="C22" i="1"/>
  <c r="C21" i="1"/>
  <c r="C19" i="1"/>
  <c r="C18" i="1"/>
  <c r="C17" i="1"/>
  <c r="C16" i="1"/>
  <c r="C15" i="1"/>
  <c r="C14" i="1"/>
  <c r="C20" i="1" l="1"/>
  <c r="C3" i="6"/>
</calcChain>
</file>

<file path=xl/sharedStrings.xml><?xml version="1.0" encoding="utf-8"?>
<sst xmlns="http://schemas.openxmlformats.org/spreadsheetml/2006/main" count="600" uniqueCount="491">
  <si>
    <t>India Macro-to-Market Briefing</t>
  </si>
  <si>
    <t>Top-down overlay for the FYNRO framework  |  As of 17 July 2026  |  Research input only — not investment advice</t>
  </si>
  <si>
    <t>BOTTOM LINE UP FRONT</t>
  </si>
  <si>
    <t>Item</t>
  </si>
  <si>
    <t>Call</t>
  </si>
  <si>
    <t>Note</t>
  </si>
  <si>
    <t>Regime call</t>
  </si>
  <si>
    <t>LATE-CYCLE with a stagflationary tilt</t>
  </si>
  <si>
    <t>Medium confidence</t>
  </si>
  <si>
    <t>Biggest risk</t>
  </si>
  <si>
    <t>The oil–rupee–inflation loop</t>
  </si>
  <si>
    <t>Brent ~$85, Hormuz traffic at 2-month lows</t>
  </si>
  <si>
    <t>Overweight</t>
  </si>
  <si>
    <t>IT / Technology, Pharma / Healthcare, Energy (upstream)</t>
  </si>
  <si>
    <t>Weak-rupee earners + late-cycle defensives</t>
  </si>
  <si>
    <t>Underweight</t>
  </si>
  <si>
    <t>Autos, Realty, Consumer Discretionary</t>
  </si>
  <si>
    <t>Rate-sensitive, oil-input-heavy cyclicals</t>
  </si>
  <si>
    <t>Valuation pillar</t>
  </si>
  <si>
    <t>Nifty P/E 20.87 — ~10.9% below 10-yr avg</t>
  </si>
  <si>
    <t>A growth-scare late cycle, not a bubble</t>
  </si>
  <si>
    <t>What flips it</t>
  </si>
  <si>
    <t>Durable Hormuz reopening: Brent -&gt; $70, INR &lt; 94</t>
  </si>
  <si>
    <t>Reopens the frozen RBI rate-cut door</t>
  </si>
  <si>
    <t>LIVE READINGS (linked from other sheets)</t>
  </si>
  <si>
    <t>Metric</t>
  </si>
  <si>
    <t>Value</t>
  </si>
  <si>
    <t>Source sheet</t>
  </si>
  <si>
    <t>Repo rate</t>
  </si>
  <si>
    <t>Indicator Dashboard</t>
  </si>
  <si>
    <t>CPI headline</t>
  </si>
  <si>
    <t>GDP (Q4 FY26)</t>
  </si>
  <si>
    <t>Brent crude</t>
  </si>
  <si>
    <t>USD/INR</t>
  </si>
  <si>
    <t>Nifty P/E</t>
  </si>
  <si>
    <t>Regime (vote tally)</t>
  </si>
  <si>
    <t>Cycle Placement</t>
  </si>
  <si>
    <t>Net OW sectors</t>
  </si>
  <si>
    <t>Positioning</t>
  </si>
  <si>
    <t>Net UW sectors</t>
  </si>
  <si>
    <t>WORKBOOK MAP  (flow)</t>
  </si>
  <si>
    <t>1. Indicator Dashboard</t>
  </si>
  <si>
    <t>Live macro readings — the raw inputs everything else references</t>
  </si>
  <si>
    <t>2. Global Overlay</t>
  </si>
  <si>
    <t>The three external forces acting on India now</t>
  </si>
  <si>
    <t>3. Cycle Placement</t>
  </si>
  <si>
    <t>Six-signal vote -&gt; regime call (reads the Indicator Dashboard)</t>
  </si>
  <si>
    <t>4. Linkage Map</t>
  </si>
  <si>
    <t>Indicator -&gt; sector transmission mechanisms</t>
  </si>
  <si>
    <t>5. Positioning</t>
  </si>
  <si>
    <t>Cycle + linkage -&gt; OW/Neutral/UW stance per sector</t>
  </si>
  <si>
    <t>6. Triggers &amp; Caveats</t>
  </si>
  <si>
    <t>What would change the call + confidence notes</t>
  </si>
  <si>
    <t>1 · Indicator Dashboard</t>
  </si>
  <si>
    <t>Every moving number pulled live and dated. Blue = hardcoded live reading (source of truth for the whole workbook).</t>
  </si>
  <si>
    <t>Group</t>
  </si>
  <si>
    <t>Indicator</t>
  </si>
  <si>
    <t>Latest</t>
  </si>
  <si>
    <t>Prior</t>
  </si>
  <si>
    <t>Direction</t>
  </si>
  <si>
    <t>Source</t>
  </si>
  <si>
    <t>Date</t>
  </si>
  <si>
    <t>Monetary/Rates</t>
  </si>
  <si>
    <t>RBI repo rate</t>
  </si>
  <si>
    <t>5.25% (neutral)</t>
  </si>
  <si>
    <t>5.25%</t>
  </si>
  <si>
    <t>On hold (was cutting)</t>
  </si>
  <si>
    <t>RBI / Forbes India</t>
  </si>
  <si>
    <t>5 Jun 2026</t>
  </si>
  <si>
    <t>RBI FY27 GDP forecast</t>
  </si>
  <si>
    <t>6.6% (cut)</t>
  </si>
  <si>
    <t>6.9%</t>
  </si>
  <si>
    <t>Down</t>
  </si>
  <si>
    <t>RBI MPC</t>
  </si>
  <si>
    <t>Jun 2026</t>
  </si>
  <si>
    <t>RBI FY27 CPI forecast</t>
  </si>
  <si>
    <t>5.1% (raised)</t>
  </si>
  <si>
    <t>4.6%</t>
  </si>
  <si>
    <t>Up</t>
  </si>
  <si>
    <t>Growth</t>
  </si>
  <si>
    <t>Real GDP (Q4 FY26)</t>
  </si>
  <si>
    <t>7.8%</t>
  </si>
  <si>
    <t>8.0% (Q3)</t>
  </si>
  <si>
    <t>Decelerating</t>
  </si>
  <si>
    <t>MoSPI</t>
  </si>
  <si>
    <t>Real GDP (FY26 full year)</t>
  </si>
  <si>
    <t>7.7%</t>
  </si>
  <si>
    <t>7.1% (FY25)</t>
  </si>
  <si>
    <t>Strong (backward)</t>
  </si>
  <si>
    <t>Inflation</t>
  </si>
  <si>
    <t>4.38%</t>
  </si>
  <si>
    <t>3.93%</t>
  </si>
  <si>
    <t>Up (5th straight, &gt; 4% target)</t>
  </si>
  <si>
    <t>Jun 2026 (rel 13 Jul)</t>
  </si>
  <si>
    <t>Food CPI (CFPI)</t>
  </si>
  <si>
    <t>5.32%</t>
  </si>
  <si>
    <t>4.78%</t>
  </si>
  <si>
    <t>Manufacturing PMI</t>
  </si>
  <si>
    <t>54.2</t>
  </si>
  <si>
    <t>higher</t>
  </si>
  <si>
    <t>Softening, still expanding</t>
  </si>
  <si>
    <t>HSBC / S&amp;P Global</t>
  </si>
  <si>
    <t>Services PMI</t>
  </si>
  <si>
    <t>57.4</t>
  </si>
  <si>
    <t>58.9</t>
  </si>
  <si>
    <t>Softening, still strong</t>
  </si>
  <si>
    <t>Rates</t>
  </si>
  <si>
    <t>10Y G-sec yield</t>
  </si>
  <si>
    <t>6.79%</t>
  </si>
  <si>
    <t>6.73%</t>
  </si>
  <si>
    <t>Up (on oil)</t>
  </si>
  <si>
    <t>Business Standard</t>
  </si>
  <si>
    <t>14 Jul 2026</t>
  </si>
  <si>
    <t>External</t>
  </si>
  <si>
    <t>96.20</t>
  </si>
  <si>
    <t>95.62</t>
  </si>
  <si>
    <t>Up (rupee weak, breached 96)</t>
  </si>
  <si>
    <t>Forex reserves</t>
  </si>
  <si>
    <t>$674bn</t>
  </si>
  <si>
    <t>$697bn</t>
  </si>
  <si>
    <t>Down (intervention)</t>
  </si>
  <si>
    <t>RBI via BS</t>
  </si>
  <si>
    <t>3 Jul 2026</t>
  </si>
  <si>
    <t>Commodities</t>
  </si>
  <si>
    <t>~$85</t>
  </si>
  <si>
    <t>~$70 (early Jul)</t>
  </si>
  <si>
    <t>Up (+11% in a week)</t>
  </si>
  <si>
    <t>TradingEconomics</t>
  </si>
  <si>
    <t>16 Jul 2026</t>
  </si>
  <si>
    <t>Valuation</t>
  </si>
  <si>
    <t>Nifty 50 P/E</t>
  </si>
  <si>
    <t>20.87</t>
  </si>
  <si>
    <t>—</t>
  </si>
  <si>
    <t>Below 10-yr avg (~23.4)</t>
  </si>
  <si>
    <t>Craytheon</t>
  </si>
  <si>
    <t>10 Jul 2026</t>
  </si>
  <si>
    <t>Nifty 50 P/B</t>
  </si>
  <si>
    <t>3.15</t>
  </si>
  <si>
    <t>Below 10-yr avg (~3.62)</t>
  </si>
  <si>
    <t>Jul 2026</t>
  </si>
  <si>
    <t>Sentiment</t>
  </si>
  <si>
    <t>India VIX</t>
  </si>
  <si>
    <t>13.75</t>
  </si>
  <si>
    <t>higher (qtr)</t>
  </si>
  <si>
    <t>Low / falling</t>
  </si>
  <si>
    <t>Trendlyne</t>
  </si>
  <si>
    <t>Flows</t>
  </si>
  <si>
    <t>FII flows</t>
  </si>
  <si>
    <t>Net sellers (~Rs 49,340 cr Jun)</t>
  </si>
  <si>
    <t>Outflow</t>
  </si>
  <si>
    <t>MyMoneySage</t>
  </si>
  <si>
    <t>DII flows</t>
  </si>
  <si>
    <t>~$22bn FY27 YTD</t>
  </si>
  <si>
    <t>Strong inflow</t>
  </si>
  <si>
    <t>Blue cells are the live readings that every other sheet references. Update these and the Cycle Placement vote, Dashboard links, and derived stats recalculate. Unverified: system credit growth YoY, exact WPI print, IIP/core-sector, same-day FII/DII cash.</t>
  </si>
  <si>
    <t>2 · Global Overlay</t>
  </si>
  <si>
    <t>The external forces acting on India right now — the two or three that matter most.</t>
  </si>
  <si>
    <t>#</t>
  </si>
  <si>
    <t>Factor</t>
  </si>
  <si>
    <t>Read</t>
  </si>
  <si>
    <t>Why it matters for India now</t>
  </si>
  <si>
    <t>1</t>
  </si>
  <si>
    <t>Oil / Strait of Hormuz</t>
  </si>
  <si>
    <t>PRESSURING (dominant)</t>
  </si>
  <si>
    <t>Master variable. Whipsawed in 2026: late-Jun MOU reopened Hormuz (Brent &lt; $70), then US strikes revived the shock (~$85, traffic at 2-mo lows). India imports ~85% of crude — every $10 hits inflation, CAD and INR together.</t>
  </si>
  <si>
    <t>2</t>
  </si>
  <si>
    <t>Strong US dollar</t>
  </si>
  <si>
    <t>PRESSURING</t>
  </si>
  <si>
    <t>DXY at a 13-month high — the second lever pushing INR to record lows, independent of oil, and raising the hurdle for an RBI cut.</t>
  </si>
  <si>
    <t>3</t>
  </si>
  <si>
    <t>FII risk appetite to EM</t>
  </si>
  <si>
    <t>MIXED</t>
  </si>
  <si>
    <t>FIIs net sellers (~Rs 49,340 cr Jun) but DIIs (+$22bn FY27 YTD) more than offset ~$13bn FII outflows. The domestic bid is the shock-absorber holding valuations up.</t>
  </si>
  <si>
    <t>Net global read: PRESSURING, not supportive — a supply-side inflation shock plus a strong dollar is the least favourable mix for India, softened only by a resilient domestic flow base.</t>
  </si>
  <si>
    <t>3 · Cycle Placement</t>
  </si>
  <si>
    <t>Six signals, each casting a vote. The Score column is a formula; the tally and call recalc when you change a vote.</t>
  </si>
  <si>
    <t>Signal</t>
  </si>
  <si>
    <t>Current reading (from Indicator Dashboard)</t>
  </si>
  <si>
    <t>Votes toward</t>
  </si>
  <si>
    <t>Score (Early=1 / Mid=2 / Late=3 / Contraction=4)</t>
  </si>
  <si>
    <t>Repo-rate trend</t>
  </si>
  <si>
    <t>5.25%, cutting bias frozen to neutral hold</t>
  </si>
  <si>
    <t>Late</t>
  </si>
  <si>
    <t>Yield-curve shape</t>
  </si>
  <si>
    <t>10Y rising to 6.79% on inflation (not growth)</t>
  </si>
  <si>
    <t>Late (mechanically)</t>
  </si>
  <si>
    <t>Nifty P/E vs avg</t>
  </si>
  <si>
    <t>20.87, below long-run average</t>
  </si>
  <si>
    <t>Early</t>
  </si>
  <si>
    <t>PMI level &amp; direction</t>
  </si>
  <si>
    <t>Mfg 54.2 / Svcs 57.4 — &gt;50 but softening</t>
  </si>
  <si>
    <t>Mid -&gt; Late</t>
  </si>
  <si>
    <t>GDP momentum</t>
  </si>
  <si>
    <t>7.8% Q4, decelerating; RBI FY27 6.6%</t>
  </si>
  <si>
    <t>VIX / breadth</t>
  </si>
  <si>
    <t>VIX 13.75 low, breadth broad</t>
  </si>
  <si>
    <t>Mid</t>
  </si>
  <si>
    <t>Average score</t>
  </si>
  <si>
    <t>1-1.5 Early / 1.6-2.4 Mid / 2.5-3.4 Late / 3.5-4 Contraction</t>
  </si>
  <si>
    <t>Late-leaning votes (score&gt;=3)</t>
  </si>
  <si>
    <t>REGIME CALL</t>
  </si>
  <si>
    <t>Analyst overlay</t>
  </si>
  <si>
    <t>Formula average (2.33) sits in the MID band, BUT the overlay call is LATE-CYCLE: the two dissenting signals (cheap P/E, low VIX) are the market betting the oil shock is temporary, while the macro drivers (frozen easing, rising 10Y, decelerating fwd growth) are already late. Weight the macro over the internals -&gt; LATE-CYCLE, Medium confidence.</t>
  </si>
  <si>
    <t>Confidence</t>
  </si>
  <si>
    <t>MEDIUM — 4 signals lean late, but cheap valuations &amp; low VIX genuinely dissent (look mid-cycle). This is an externally-imposed late cycle: a supply shock ageing it prematurely, not domestic overheating.</t>
  </si>
  <si>
    <t>Counter-case</t>
  </si>
  <si>
    <t>If Hormuz reopens fast (as late-Jun suggested), oil unwinds, RBI resumes cutting and the read collapses to 'mid-cycle growth scare'. Low VIX + cheap multiples show the market betting on exactly that benign outcome.</t>
  </si>
  <si>
    <t>Watch tells</t>
  </si>
  <si>
    <t>Brent &lt; $70 + INR &lt; 94 -&gt; shifts toward early/mid.   Brent &gt; $100 + CPI toward 6% + PMIs &lt; 52 -&gt; shifts toward contraction.</t>
  </si>
  <si>
    <t>4 · Indicator -&gt; Sector Linkage Map</t>
  </si>
  <si>
    <t>The heart: which sectors each indicator helps or hurts at current levels — with the transmission mechanism, not just the direction.</t>
  </si>
  <si>
    <t>Indicator (reading &amp; direction)</t>
  </si>
  <si>
    <t>Crude ~$85, rising</t>
  </si>
  <si>
    <t>High</t>
  </si>
  <si>
    <t>CPI 4.38%, rising &gt; target</t>
  </si>
  <si>
    <t>Rate-sensitives (Autos, Realty, NBFCs) — kills the rate-cut hope. FMCG/Discretionary — rural real-income squeeze (rural CPI hottest).</t>
  </si>
  <si>
    <t>Repo 5.25%, easing frozen</t>
  </si>
  <si>
    <t>Medium</t>
  </si>
  <si>
    <t>10Y yield 6.79%, rising</t>
  </si>
  <si>
    <t>Banks' bond books: AFS mark-to-market treasury losses. Realty &amp; high-debt Industrials: discount rate up, valuations compress.</t>
  </si>
  <si>
    <t>USD/INR 96.2, rupee weak</t>
  </si>
  <si>
    <t>PMIs softening but &gt;50</t>
  </si>
  <si>
    <t>Deceleration warns a cyclical peak may be forming; early-cyclicals lose momentum.</t>
  </si>
  <si>
    <t>GDP 7.7% FY26, decelerating fwd</t>
  </si>
  <si>
    <t>FII selling / DII buying</t>
  </si>
  <si>
    <t>SECTOR-LED SUMMARY — net read &amp; the 2-3 indicators driving each</t>
  </si>
  <si>
    <t>Sector</t>
  </si>
  <si>
    <t>Net read</t>
  </si>
  <si>
    <t>Drivers</t>
  </si>
  <si>
    <t>IT / Technology</t>
  </si>
  <si>
    <t>Tailwind</t>
  </si>
  <si>
    <t>Weak rupee (96+) + defensive as growth decelerates. Risk: US demand.</t>
  </si>
  <si>
    <t>Pharma / Healthcare</t>
  </si>
  <si>
    <t>Weak-rupee export margins + late-cycle defensive + inelastic demand.</t>
  </si>
  <si>
    <t>Energy (upstream/integrated)</t>
  </si>
  <si>
    <t>High crude realizations + record refining margins. (OMCs excepted.)</t>
  </si>
  <si>
    <t>Banks / Financials</t>
  </si>
  <si>
    <t>Neutral</t>
  </si>
  <si>
    <t>Stable NIMs &amp; rising loan yields (+) vs treasury MTM &amp; frozen easing (-).</t>
  </si>
  <si>
    <t>Metals</t>
  </si>
  <si>
    <t>Neutral -&gt; Tailwind</t>
  </si>
  <si>
    <t>Weak-rupee import-parity (+) vs decelerating growth &amp; China (-).</t>
  </si>
  <si>
    <t>FMCG</t>
  </si>
  <si>
    <t>Neutral -&gt; Headwind</t>
  </si>
  <si>
    <t>Input-cost inflation + rural squeeze vs defensive stability.</t>
  </si>
  <si>
    <t>Capital Goods / Industrials</t>
  </si>
  <si>
    <t>Healthy order books (+) vs frozen easing, high rates, rich valuations (-).</t>
  </si>
  <si>
    <t>Autos</t>
  </si>
  <si>
    <t>Headwind</t>
  </si>
  <si>
    <t>Fuel demand drag + input inflation + no rate cut. Clearest loser.</t>
  </si>
  <si>
    <t>Realty</t>
  </si>
  <si>
    <t>Rate-cut hope gone + rising 10Y lifts mortgage costs.</t>
  </si>
  <si>
    <t>Consumer Discretionary</t>
  </si>
  <si>
    <t>Rural income squeeze + crude-linked input costs.</t>
  </si>
  <si>
    <t>Utilities</t>
  </si>
  <si>
    <t>Neutral (defensive)</t>
  </si>
  <si>
    <t>Imported-fuel cost pressure vs low-beta stability bid.</t>
  </si>
  <si>
    <t>5 · Integrated Positioning</t>
  </si>
  <si>
    <t>Cycle + linkage combined into one stance per sector. Regime cell links live to the Cycle Placement call.</t>
  </si>
  <si>
    <t>Active regime:</t>
  </si>
  <si>
    <t>Overweight count:</t>
  </si>
  <si>
    <t>Cycle-fit (late-cycle)</t>
  </si>
  <si>
    <t>Net indicator read</t>
  </si>
  <si>
    <t>Combined stance</t>
  </si>
  <si>
    <t>Key driver</t>
  </si>
  <si>
    <t>Key risk</t>
  </si>
  <si>
    <t>Good (defensive)</t>
  </si>
  <si>
    <t>Weak rupee + defensive</t>
  </si>
  <si>
    <t>Global/US recession from oil shock</t>
  </si>
  <si>
    <t>Weak rupee + inelastic demand</t>
  </si>
  <si>
    <t>US pricing / regulatory</t>
  </si>
  <si>
    <t>Energy (upstream)</t>
  </si>
  <si>
    <t>High crude + refining margins</t>
  </si>
  <si>
    <t>Sudden Hormuz reopening -&gt; oil collapse</t>
  </si>
  <si>
    <t>Poor (deep cyclical)</t>
  </si>
  <si>
    <t>Neutral+</t>
  </si>
  <si>
    <t>Import-parity pricing</t>
  </si>
  <si>
    <t>Growth deceleration, China</t>
  </si>
  <si>
    <t>NIM stability vs bond MTM</t>
  </si>
  <si>
    <t>Yield spike hits treasury books</t>
  </si>
  <si>
    <t>Low-beta stability</t>
  </si>
  <si>
    <t>Imported fuel costs</t>
  </si>
  <si>
    <t>Neutral-</t>
  </si>
  <si>
    <t>Defensive vs rural squeeze</t>
  </si>
  <si>
    <t>Prolonged food inflation</t>
  </si>
  <si>
    <t>Poor late-cycle</t>
  </si>
  <si>
    <t>Order books vs high rates</t>
  </si>
  <si>
    <t>Multiple de-rating</t>
  </si>
  <si>
    <t>Poor</t>
  </si>
  <si>
    <t>Rural income squeeze</t>
  </si>
  <si>
    <t>Sustained inflation</t>
  </si>
  <si>
    <t>Fuel + input + no rate cut</t>
  </si>
  <si>
    <t>Demand air-pocket</t>
  </si>
  <si>
    <t>Poor (rate-sensitive)</t>
  </si>
  <si>
    <t>Frozen easing + rising 10Y</t>
  </si>
  <si>
    <t>Mortgage-rate rise</t>
  </si>
  <si>
    <t>KEY TENSIONS (where cycle &amp; indicators disagree)</t>
  </si>
  <si>
    <t>FMCG &amp; Utilities: cycle says 'own defensives late-cycle', but indicators (input inflation, rural squeeze) drag them to Neutral — defensive vs a growth slowdown, exposed to an inflation shock. This IS an inflation shock.</t>
  </si>
  <si>
    <t>Banks: the market's favourite domestic-growth play, stuck at Neutral because the rate cycle turned against them (frozen easing + rising yields hitting bond books). A stock-picker's sector, not a top-down OW.</t>
  </si>
  <si>
    <t>Metals: deep-cyclical (cycle says UW) but the weak rupee gives a genuine near-term tailwind — hence Neutral, not Underweight.</t>
  </si>
  <si>
    <t>6 · What Would Change the Call + Caveats</t>
  </si>
  <si>
    <t>Concrete, monitorable triggers that would shift the regime or flip a sector — plus confidence &amp; the not-advice note.</t>
  </si>
  <si>
    <t>TRIGGERS TO MONITOR</t>
  </si>
  <si>
    <t>Trigger</t>
  </si>
  <si>
    <t>Consequence</t>
  </si>
  <si>
    <t>Brent sustainably &lt; $70 + INR &lt; 94 (durable Hormuz reopening)</t>
  </si>
  <si>
    <t>Flips regime toward mid/early, revives RBI easing; moves Autos, Realty, NBFCs to Overweight; trims IT/Pharma weak-rupee premium.</t>
  </si>
  <si>
    <t>Brent holds &gt; $100 + CPI printing toward 6%</t>
  </si>
  <si>
    <t>Shifts regime toward CONTRACTION; forces RBI toward hikes; deepens all cyclical underweights; could break the low-VIX complacency.</t>
  </si>
  <si>
    <t>5 Aug 2026 RBI MPC decision</t>
  </si>
  <si>
    <t>Surprise cut = dovish re-rating for rate-sensitives; explicit hawkish shift confirms late-cycle and hits Realty/Autos hardest.</t>
  </si>
  <si>
    <t>4</t>
  </si>
  <si>
    <t>FII flows turn net-buyer for a sustained stretch</t>
  </si>
  <si>
    <t>Broadens the rally beyond DII-favoured names; supports a re-rating despite the macro.</t>
  </si>
  <si>
    <t>5</t>
  </si>
  <si>
    <t>Monsoon / El Nino disappointment (RBI-flagged)</t>
  </si>
  <si>
    <t>Compounds food inflation, extends the CPI uptrend, hardens the underweight on rural-facing consumer sectors.</t>
  </si>
  <si>
    <t>CONFIDENCE &amp; CAVEATS</t>
  </si>
  <si>
    <t>Overall confidence</t>
  </si>
  <si>
    <t>MEDIUM. The regime rests on one volatile driver (oil/Hormuz) whose path already reversed twice in 2026; internals dissent from the macro read.</t>
  </si>
  <si>
    <t>Data gaps / unverified</t>
  </si>
  <si>
    <t>No clean live read for system credit growth YoY, exact latest WPI, IIP/core-sector, or same-day FII/DII cash (daily figures stale/near-zero on retrieval dates). Nifty P/E is consolidated; comparison uses the 10-yr average. Crude &amp; INR move intraday.</t>
  </si>
  <si>
    <t>Not investment advice</t>
  </si>
  <si>
    <t>A top-down research input for an advisor-reviewed process. No recommendation on any individual security; sector stances are a macro overlay to sit atop bottom-up FYNRO scores — not buy/sell calls. Not a licensed financial advisor.</t>
  </si>
  <si>
    <t>This is the interest the country's big boss bank (RBI) charges other banks to borrow money — like the 'price of borrowing' for the whole country. It's holding steady at 5.25%: not cheap, not pricey. When it goes up, loans (home, car) get costlier for everyone.</t>
  </si>
  <si>
    <t>The RBI's best guess for how much bigger India's economy will grow next year — kind of like guessing how much taller you'll get. They lowered the guess to 6.6%, so they expect growth to be a touch slower.</t>
  </si>
  <si>
    <t>The RBI's guess for how fast prices will climb next year. They raised it to 5.1%, meaning they think things will get a bit more expensive than they used to think.</t>
  </si>
  <si>
    <t>How much the economy actually grew in the last 3 months, after taking out the price-rise effect. 7.8% is strong — imagine the whole country's pocket money grew almost 8% in real terms.</t>
  </si>
  <si>
    <t>Same idea, but for the whole year. The economy grew 7.7% — a healthy, good year overall.</t>
  </si>
  <si>
    <t>How much more expensive everyday things (food, clothes, travel) are than a year ago. Prices are up 4.38% — the 5th month in a row above the 4% goal, so the RBI is watching closely.</t>
  </si>
  <si>
    <t>Just the food part of rising prices. Your family's grocery basket costs about 5.3% more than last year, so food is the part pushing prices up the most.</t>
  </si>
  <si>
    <t>A report-card score from factory bosses. Above 50 means factories are making MORE stuff (growing); below 50 means less. 54.2 = still growing, just a little slower than before.</t>
  </si>
  <si>
    <t>The same scoreboard but for service businesses (shops, banks, IT companies). 57.4 is a strong score — lots of busy activity.</t>
  </si>
  <si>
    <t>The interest the government promises to pay when it borrows money for 10 years — like the interest on the country's long-term loan. It nudged up because oil got pricier.</t>
  </si>
  <si>
    <t>How many rupees it takes to buy 1 US dollar. A bigger number means the rupee is weaker. Now it takes 96.2 rupees, so the rupee got a little weaker — imports like oil cost us more.</t>
  </si>
  <si>
    <t>India's piggy-bank of foreign money (dollars and gold) saved up for a rainy day. It's $674 billion. It dipped a bit because the RBI spent some to help steady the rupee.</t>
  </si>
  <si>
    <t>The price of one barrel of oil in the world. Oil jumped about 11% in a week, and pricier oil makes fuel, travel, and lots of goods cost more for everybody.</t>
  </si>
  <si>
    <t>How 'expensive' the stock market is — the price you pay for each 1 rupee of company earnings. 20.87 is below the usual 10-year average (~23.4), so stocks aren't overpriced right now.</t>
  </si>
  <si>
    <t>Another 'expensiveness' gauge — the market's price compared to what companies actually own. 3.15 is below its 10-year average, another sign stocks aren't too pricey.</t>
  </si>
  <si>
    <t>The market's 'fear meter.' A low number means investors feel calm and relaxed; a high number means they're scared and jumpy. 13.75 is low, so the mood is calm.</t>
  </si>
  <si>
    <t>Foreign investors — big money coming from other countries. Lately they've been taking money OUT of India (they sold about Rs 49,340 crore in June), so they're a bit cautious.</t>
  </si>
  <si>
    <t>Domestic investors — big Indian funds like mutual funds and LIC. They've been putting lots of money IN, which balances out the foreigners pulling money out.</t>
  </si>
  <si>
    <t xml:space="preserve">In simple English </t>
  </si>
  <si>
    <t>BENEFITS — Sector</t>
  </si>
  <si>
    <t>BENEFITS — Reason</t>
  </si>
  <si>
    <t>PRESSURES — Sector</t>
  </si>
  <si>
    <t>PRESSURES — Reason</t>
  </si>
  <si>
    <t>Energy (upstream/integrated); IT &amp; Pharma (indirect)</t>
  </si>
  <si>
    <t>Higher oil realizations + record refining margins. IT/Pharma benefit indirectly via the weak rupee.</t>
  </si>
  <si>
    <t>Autos; Paints &amp; durables; Aviation; Logistics; FMCG; Utilities</t>
  </si>
  <si>
    <t>Autos: fuel drag + steel/plastic inputs. Paints &amp; durables: crude-derivative COGS. Aviation/Logistics/FMCG: fuel &amp; packaging. Utilities: imported fuel.</t>
  </si>
  <si>
    <t>None cleanly (marginal: staples)</t>
  </si>
  <si>
    <t>Nothing benefits cleanly. Marginal: pricing-power staples pass costs through.</t>
  </si>
  <si>
    <t>Autos; Realty; NBFCs; FMCG; Discretionary</t>
  </si>
  <si>
    <t>Banks (strong CASA)</t>
  </si>
  <si>
    <t>Stable NIMs; no further cut-driven margin compression.</t>
  </si>
  <si>
    <t>NBFCs; Realty; Capital Goods</t>
  </si>
  <si>
    <t>Expected cost-of-funds relief &amp; demand kicker evaporate. Capital Goods hit on project financing.</t>
  </si>
  <si>
    <t>Banks; General insurers</t>
  </si>
  <si>
    <t>Banks' new lending reprices up; insurers gain on higher reinvestment yields.</t>
  </si>
  <si>
    <t>Banks (bond books); Realty; high-debt Industrials</t>
  </si>
  <si>
    <t>IT services; Pharma exporters; Metals</t>
  </si>
  <si>
    <t>USD revenue vs INR cost = direct margin tailwind. Metals gain via import-parity pricing.</t>
  </si>
  <si>
    <t>Autos; Electronics; OMCs; dollar-debt holders</t>
  </si>
  <si>
    <t>Importers pay more: Autos (components), electronics, OMCs (crude bill), and dollar-debt holders.</t>
  </si>
  <si>
    <t>Industrials / Capital Goods</t>
  </si>
  <si>
    <t>Broad economy still expanding — supportive baseline for order books.</t>
  </si>
  <si>
    <t>Early-cyclicals</t>
  </si>
  <si>
    <t>Pharma; IT; Utilities (defensives)</t>
  </si>
  <si>
    <t>Relative earnings stability prized as growth slows.</t>
  </si>
  <si>
    <t>Metals; Discretionary; Capital Goods</t>
  </si>
  <si>
    <t>Deep cyclicals — earnings most geared to the decelerating top line.</t>
  </si>
  <si>
    <t>Large caps; broad market</t>
  </si>
  <si>
    <t>Domestic-flow-favoured; cushioned by the ~$22bn DII bid.</t>
  </si>
  <si>
    <t>Private banks; select large caps</t>
  </si>
  <si>
    <t>FII-heavy pockets face episodic selling supply.</t>
  </si>
  <si>
    <t>Verdict — connecting the dots</t>
  </si>
  <si>
    <t>High-conviction overweight — leadership and the tape agree. Weak rupee pads margins while late-cycle money rotates into defensives. Only real break: the oil shock ageing this cycle spilling into a US demand recession that cuts IT budgets.</t>
  </si>
  <si>
    <t>High-conviction overweight. Weak-rupee export margins + inelastic demand make it a clean late-cycle defensive. The one dent is US pricing/regulatory headlines — not the macro.</t>
  </si>
  <si>
    <t>High-conviction overweight and the direct beneficiary of the oil shock driving this whole cycle. Risk is symmetrical: a sudden Hormuz reopening collapses crude and the tailwind reverses fast — this call lives and dies with elevated Brent.</t>
  </si>
  <si>
    <t>Neutral, not underweight: deep-cyclical (cycle says avoid) but the weak rupee hands it a genuine near-term import-parity tailwind. Knife-edge — decelerating growth and China supply cap the upside.</t>
  </si>
  <si>
    <t>Neutral despite being the market's favourite domestic-growth play. The rate cycle turned against it — frozen easing + rising 10Y hit bond books even as NIMs hold. PSU banks rallied +1.6% on the mid-cycle bid, but the macro doesn't confirm it. A stock-picker's sector, not a top-down overweight.</t>
  </si>
  <si>
    <t>Neutral. Low-beta stability earns a late-cycle bid, but imported-fuel costs cap it. Defensive floor, limited upside.</t>
  </si>
  <si>
    <t>Neutral tension: the cycle says own defensives late, but input inflation + rural real-income squeeze drag it down. It defends against a growth slowdown — but this is an inflation shock, the exact regime that hurts it.</t>
  </si>
  <si>
    <t>Neutral. Healthy order books (+) fight frozen easing, high rates and rich valuations (-). Late-cycle multiple de-rating is the risk if rates stay high.</t>
  </si>
  <si>
    <t>⚠️ Macro-correct underweight but tactically fragile. The rural squeeze justifies it, yet it's a rate-sensitive domestic-cyclical the market keeps buying whenever oil eases or a rate cut looks likely — consumer durables have led those sessions. Read it as 'underweight conditional on crude staying high,' not a structural short; it whipsaws on any Brent-below-$70 headline.</t>
  </si>
  <si>
    <t>⚠️ Clearest macro loser — fuel drag + input inflation + no rate cut. But it's the textbook rate-sensitive the mid-cycle tape keeps bidding. Correct underweight while crude stays elevated; expect sharp counter-trend rallies, so size it as conditional, not conviction.</t>
  </si>
  <si>
    <t>⚠️ Macro-correct underweight: frozen easing + rising 10Y lifts mortgage costs. Yet Realty +3.5% in a single session shows the market still trading it mid-cycle. The reconciliation: this is an externally-imposed late cycle (oil), not domestic overheating — so rate-sensitives keep rallying every time the shock looks temporary. Underweight conditional on elevated crude.</t>
  </si>
  <si>
    <t>THE BOTTOM LINE — the verdict, dots connected</t>
  </si>
  <si>
    <t>The stances are directionally right for a late-cycle macro map, but the market isn't trading them with conviction — because the internals still behave mid-cycle. The reconciliation runs through the whole workbook: this is an externally-imposed late cycle (an oil shock ageing the cycle), NOT domestic overheating, so the rate-sensitive underweights (Realty, Autos, Consumer Discretionary) keep trying to rally every time the shock looks temporary. • The overweights (IT / Pharma / Energy) are the higher-conviction, better-confirmed calls — sector leadership and the price tape agree. • The underweights (Realty / Autos / Consumer Disc) are macro-correct but tactically fragile — they whipsaw and rally on any Brent-below-$70 headline, so treat them as 'underweight CONDITIONAL on crude staying elevated,' not structural shorts. • FII/DII confirms the regime's fragility: on 13 Jul 2026 FIIs sold ~Rs 3,396 cr while DIIs bought ~Rs 2,355 cr — the domestic bid is holding the market up against foreign selling, exactly the late-cycle-with-a-floor picture.</t>
  </si>
  <si>
    <t># STOCK MACRO LENS — top-down read for a single stock, written to a new sheet</t>
  </si>
  <si>
    <t>## What this does</t>
  </si>
  <si>
    <t>I'll give you one or more Indian (NSE/BSE) stocks. For each, produce a purely TOP-DOWN,</t>
  </si>
  <si>
    <t>macro/economic-cycle read — NOT a company fundamental report. You answer three questions</t>
  </si>
  <si>
    <t>only: (1) where does this stock sit in the current economic cycle, (2) what macro tailwinds</t>
  </si>
  <si>
    <t>and headwinds act on it right now, and (3) what kind of investor is it suitable to suggest to,</t>
  </si>
  <si>
    <t>from an economic point of view. Then you write the result into a NEW sheet in THIS workbook.</t>
  </si>
  <si>
    <t>## Source of truth — read these sheets first, never invent</t>
  </si>
  <si>
    <t>This workbook is the macro engine. Before writing anything, read and use these existing tabs.</t>
  </si>
  <si>
    <t>Every figure and stance must be traceable to them — do not fetch outside numbers or make up macro data.</t>
  </si>
  <si>
    <t>- **Indicator Dashboard** — the live readings (repo, CPI, GDP, Brent, USD/INR, Nifty P/E, VIX, PMIs, flows). Source of truth for every number.</t>
  </si>
  <si>
    <t>- **Cycle Placement** — the current regime call and the 6-signal vote. Use the REGIME CALL and the analyst overlay verbatim as the cycle context.</t>
  </si>
  <si>
    <t>- **Linkage Map** — the indicator→sector transmission table AND the sector-led summary (net read + drivers per sector). This is your main lookup.</t>
  </si>
  <si>
    <t>- **Positioning** — the integrated OW/Neutral/UW stance per sector, with key driver, key risk, and the "connecting the dots" verdict.</t>
  </si>
  <si>
    <t>- **Global Overlay** and **Triggers &amp; Caveats** — the external forces and the specific events that would flip the call.</t>
  </si>
  <si>
    <t>If a number or stance you need isn't in these sheets, say so plainly in the output — do not substitute an outside figure.</t>
  </si>
  <si>
    <t>## Step 1 — resolve the stock to a sector (state your mapping)</t>
  </si>
  <si>
    <t>I'm giving you a stock, but this workbook thinks in sectors. Map the stock to ONE of the macro</t>
  </si>
  <si>
    <t>sectors the workbook actually uses: IT/Technology, Pharma/Healthcare, Energy (upstream/integrated),</t>
  </si>
  <si>
    <t>Banks/Financials, Metals, FMCG, Capital Goods/Industrials, Autos, Realty, Consumer Discretionary,</t>
  </si>
  <si>
    <t>Utilities. State the mapping in one line and your confidence. If the stock spans two (e.g. a</t>
  </si>
  <si>
    <t>conglomerate, or an OMC which the Energy row explicitly excepts), name both and say which one</t>
  </si>
  <si>
    <t>drives the read and why. If you're unsure of the stock's business, say so and ask me rather than guess.</t>
  </si>
  <si>
    <t>## Step 2 — assemble the top-down read (from the sheets only)</t>
  </si>
  <si>
    <t>Pull, for the resolved sector:</t>
  </si>
  <si>
    <t>- Its **regime fit** and the **active regime** (from Cycle Placement + Positioning).</t>
  </si>
  <si>
    <t>- Its **combined stance** (OW/Neutral/UW) and the **key driver / key risk** (from Positioning).</t>
  </si>
  <si>
    <t>- The **specific indicators** helping and hurting it, WITH the transmission mechanism (from Linkage Map — use the mechanism, not just the direction).</t>
  </si>
  <si>
    <t>- The **verdict / dots-connected** line for that sector (from Positioning).</t>
  </si>
  <si>
    <t>- Any **trigger** from Triggers &amp; Caveats that would flip this sector's stance, and the confidence level.</t>
  </si>
  <si>
    <t>## Step 3 — translate to suitability (economic point of view, not a recommendation)</t>
  </si>
  <si>
    <t>From the stance and drivers, describe WHO this fits, framed as investor archetype — e.g. a</t>
  </si>
  <si>
    <t>weak-rupee/defensive earner suits a capital-preservation or late-cycle-defensive investor; a</t>
  </si>
  <si>
    <t>rate-sensitive cyclical suits a higher-risk investor making a conditional bet on the oil shock</t>
  </si>
  <si>
    <t>easing. Tie suitability to time horizon and risk appetite and the KEY CONDITION that would change it</t>
  </si>
  <si>
    <t>(e.g. "suitable as a conditional underweight WHILE Brent stays elevated; flips on Brent &lt; $70").</t>
  </si>
  <si>
    <t>This is suitability framing for advisor review — never a buy/sell call on the security.</t>
  </si>
  <si>
    <t>## Output — write a new sheet, don't overwrite anything</t>
  </si>
  <si>
    <t>Create a new sheet named **"Stock Macro Lens"** (if it exists, append below the last row with a</t>
  </si>
  <si>
    <t>divider; never edit the six source sheets). One block per stock, with these labeled rows:</t>
  </si>
  <si>
    <t>| Field | Content |</t>
  </si>
  <si>
    <t>|---|---|</t>
  </si>
  <si>
    <t>| Stock | ticker / name (as I gave it) |</t>
  </si>
  <si>
    <t>| Resolved sector | + mapping confidence |</t>
  </si>
  <si>
    <t>| Active regime | from Cycle Placement (e.g. "Late-cycle, stagflationary tilt — Medium confidence") |</t>
  </si>
  <si>
    <t>| Cycle position (this stock) | where it sits: leader/laggard for this regime, in one line |</t>
  </si>
  <si>
    <t>| Macro TAILWINDS | 2–4 bullets, each = indicator + mechanism (from Linkage Map) |</t>
  </si>
  <si>
    <t>| Macro HEADWINDS | 2–4 bullets, each = indicator + mechanism |</t>
  </si>
  <si>
    <t>| Net macro stance | OW / Neutral / UW (from Positioning) + the one-line reason |</t>
  </si>
  <si>
    <t>| Suitable for | investor archetype, horizon, risk appetite |</t>
  </si>
  <si>
    <t>| Key condition / what flips it | the trigger + level (from Triggers &amp; Caveats) |</t>
  </si>
  <si>
    <t>| Confidence | High / Medium / Low + why |</t>
  </si>
  <si>
    <t>| As-of | the workbook's as-of date + "Source: this workbook's macro sheets" |</t>
  </si>
  <si>
    <t>Keep it top-down throughout. If I ask for the company's own fundamentals, remind me this lens is</t>
  </si>
  <si>
    <t>macro-only and point me to the FYNRO scoring workbook instead.</t>
  </si>
  <si>
    <t>## Rules</t>
  </si>
  <si>
    <t>- Read the source sheets before writing; every claim traces to a cell in them.</t>
  </si>
  <si>
    <t>- Never fabricate a macro number or a sector stance. Missing = say missing.</t>
  </si>
  <si>
    <t>- Never edit the six source sheets. Only add/append the "Stock Macro Lens" sheet.</t>
  </si>
  <si>
    <t>- Show me the plain-text of any formula or link you write.</t>
  </si>
  <si>
    <t>- Close with the standing note: research input for advisor review under FYNRO's RIA overlay — not investment advice, not a recommendation on any security.</t>
  </si>
  <si>
    <t>Start by telling me which stock(s) you want the macro lens for.</t>
  </si>
  <si>
    <t>Stock Macro Lens</t>
  </si>
  <si>
    <t>Top-down macro/economic-cycle read — built ONLY from this workbook's macro sheets. Not a company fundamental report. Not a recommendation on any security.</t>
  </si>
  <si>
    <t>ITC Ltd  (NSE: ITC / BSE: 500875)  —  resolved sector: FMCG</t>
  </si>
  <si>
    <t>Stock</t>
  </si>
  <si>
    <t>ITC Ltd (NSE: ITC / BSE: 500875), as you gave it.</t>
  </si>
  <si>
    <t>Resolved sector</t>
  </si>
  <si>
    <t>FMCG — High confidence. ITC is India's largest cigarette maker plus a diversified FMCG-Others (foods, personal care) business, so FMCG drives the macro read. It's a conglomerate: Paperboards/Packaging ties loosely to industrial demand and Agri to the rural economy — named as secondary, but neither drives the call. The workbook has no Paper/Agri sector, so those are read through FMCG + rural-inflation channels.</t>
  </si>
  <si>
    <t>Active regime</t>
  </si>
  <si>
    <t>LATE-CYCLE (analyst overlay), MEDIUM confidence. The 6-signal formula averages 2.33 = MID, but the overlay weights the macro drivers (frozen easing at 5.25%, 10Y rising to 6.79% on inflation, fwd growth decelerating to RBI FY27 6.6%) over the dissenting internals (cheap Nifty P/E 20.87, low VIX 13.75). Externally-imposed by the oil/Hormuz supply shock — not domestic overheating. [Cycle Placement C12/C13/C14]</t>
  </si>
  <si>
    <t>Cycle position (this stock)</t>
  </si>
  <si>
    <t>On paper a late-cycle DEFENSIVE leader — FMCG cycle-fit = 'Good (defensive)' in Positioning. In practice a laggard: the tape is still trading mid-cycle (bidding rate-sensitive cyclicals on every oil dip), so the defensive quality is being ignored. A 'defensive that pays you to wait.'</t>
  </si>
  <si>
    <t>Macro TAILWINDS</t>
  </si>
  <si>
    <t>• Late-cycle regime rewards defensives — as GDP decelerates (7.8% Q4 → RBI FY27 6.6%), relative earnings stability of staples is prized (Positioning: cycle-fit 'Good (defensive)').
• Inelastic staple demand + pricing power → partial pass-through of input inflation (Linkage Map, CPI row: 'pricing-power staples pass through').
• Low VIX 13.75 / broad breadth → low-beta defensives supported by the domestic DII bid, the market's shock-absorber (Global Overlay: DII inflow offsets FII selling).</t>
  </si>
  <si>
    <t>Macro HEADWINDS</t>
  </si>
  <si>
    <t>• CPI 4.38% (5th month &gt; 4% target) + food CPI 5.32% → rural real-income squeeze compresses FMCG-Others volumes (Linkage Map CPI→FMCG 'rural squeeze'; Positioning key risk 'prolonged food inflation').
• Brent ~$85 and rising → fuel + crude-derivative packaging COGS inflation (Linkage Map crude→FMCG 'fuel/packaging').
• This is an inflation shock, not a growth scare — the one regime that undercuts the defensive thesis (Global Overlay: 'supply-side inflation shock — least favourable mix for India').
• USD/INR 96 (rupee weak) gives NO benefit — ITC is largely domestic, so it misses the exporter tailwind powering the OW sectors (Linkage Map USD/INR benefits = IT/Pharma/Metals only).</t>
  </si>
  <si>
    <t>Net macro stance</t>
  </si>
  <si>
    <t>NEUTRAL (Positioning: FMCG combined stance). Cycle-fit is good as a defensive, but the net indicator read is 'Neutral-' — input-cost inflation + rural squeeze offset the defensive appeal. Verdict (Positioning, dots connected): 'defends against a slowdown, but exposed to the inflation shock that's actually here.'</t>
  </si>
  <si>
    <t>Suitable for</t>
  </si>
  <si>
    <t>Capital-preservation / late-cycle-defensive / income investor — longer horizon, lower risk appetite; someone wanting a low-beta domestic defensive to sit atop bottom-up FYNRO scores. NOT for a higher-risk investor chasing the mid-cycle cyclical rally (Autos/Realty), which is the current tape's momentum trade. Suitability framing for advisor review — not a buy/sell call.</t>
  </si>
  <si>
    <t>Key condition / what flips it</t>
  </si>
  <si>
    <t>• NEGATIVE — Monsoon/El-Niño disappointment (Trigger #5): compounds food inflation, hardens the rural-facing headwind.
• RELATIVE — Brent &lt; $70 + INR &lt; 94 (Trigger #1): regime flips to mid/early, leadership rotates to rate-sensitives (Autos/Realty/NBFCs → OW) and defensives like FMCG lag, even as ITC's own input costs ease.
• EVENT — 5 Aug 2026 RBI MPC (Trigger #3): a dovish surprise re-rates cyclicals over defensives.</t>
  </si>
  <si>
    <t>MEDIUM. The regime call itself is Medium (rests on the volatile oil/Hormuz driver that reversed twice in 2026; internals dissent from the macro read). FMCG sits at a genuine Neutral tension — defensive fit vs inflation-shock exposure.</t>
  </si>
  <si>
    <t>As-of</t>
  </si>
  <si>
    <t>Workbook macro sheets, mid-July 2026 (Indicator Dashboard latest reads 14–16 Jul 2026; next RBI MPC 5 Aug 2026). Source: this workbook's macro sheets — Indicator Dashboard, Cycle Placement, Global Overlay, Linkage Map, Positioning, Triggers &amp; Caveats.</t>
  </si>
  <si>
    <t>Live regime feed (linked)</t>
  </si>
  <si>
    <t>Standing note</t>
  </si>
  <si>
    <t>Research input for advisor review under FYNRO's RIA overlay — a top-down macro lens to sit atop bottom-up FYNRO scores. Not investment advice and not a recommendation on any security. For ITC's own fundamentals, this lens is macro-only — use the FYNRO scoring workbook.</t>
  </si>
  <si>
    <t>IRCON International Ltd  (NSE: IRCON / BSE: 541956)  —  resolved sector: Capital Goods / Industrials</t>
  </si>
  <si>
    <t>Ircon International Ltd (NSE: IRCON / BSE: 541956), as you gave it. A government-owned (PSU) railway-infrastructure EPC contractor.</t>
  </si>
  <si>
    <t>Capital Goods / Industrials — High confidence. IRCON is an engineering-construction (EPC) contractor focused on railway infrastructure (plus highways, bridges), so it reads through the Industrials channel. Nuance: demand is driven by GOVERNMENT (railway) capex, not private/rate-sensitive demand — and as a PSU infra name it's a higher-beta domestic cyclical.</t>
  </si>
  <si>
    <t>A late-cycle LAGGARD by regime fit — Capital Goods cycle-fit = 'Poor late-cycle' (Positioning). A high-beta domestic cyclical that de-rates when rates stay high and risk appetite fades. The one support: government railway capex keeps the order book filled regardless of the private-capex cycle.</t>
  </si>
  <si>
    <t>• Economy still expanding (Mfg PMI 54.2 / Svcs 57.4, both &gt;50) → supportive baseline for Industrials/Capital Goods order books (Linkage Map PMI→Cap Goods).
• Government-capex-led order book (railways) partly insulates revenue from the high-rate private-capex squeeze — an IRCON-specific cushion within the sector read.
• Domestic DII bid holds valuations up against FII selling (Global Overlay) — supports higher-beta domestic names.</t>
  </si>
  <si>
    <t>• Frozen easing / no rate cut (repo 5.25%) → expected cost-of-funds relief &amp; demand kicker evaporate; Capital Goods hit on project financing (Linkage Map repo→Cap Goods).
• 10Y rising to 6.79% → higher discount rate compresses valuations, esp. high-debt Industrials (Linkage Map 10Y→high-debt Industrials).
• GDP decelerating (7.8% Q4 → RBI FY27 6.6%) → deep cyclicals' earnings most geared to a slowing top line (Linkage Map GDP→Cap Goods).
• Key risk = late-cycle multiple de-rating if rates stay high (Positioning). Weak rupee (96) gives no benefit — IRCON is domestic.</t>
  </si>
  <si>
    <t>NEUTRAL (Positioning: Capital Goods combined stance). Healthy order books (+) fight frozen easing, high rates and rich valuations (-). Verdict (dots connected): 'late-cycle multiple de-rating is the risk if rates stay high.'</t>
  </si>
  <si>
    <t>Higher-risk investor making a CONDITIONAL cyclical / infra-capex bet — longer horizon, higher risk appetite, comfortable with volatility and PSU/government-spending dependence. Essentially a bet that the oil shock eases and RBI resumes cutting. NOT for a capital-preservation or income investor. Suitability framing for advisor review — not a buy/sell call.</t>
  </si>
  <si>
    <t>• POSITIVE — Brent &lt; $70 + INR &lt; 94 (Trigger #1): regime flips to mid/early, RBI resumes easing → project financing improves and rate-sensitive cyclicals re-rate (the scenario IRCON wants).
• POSITIVE — 5 Aug 2026 RBI MPC (Trigger #3): a dovish/surprise cut re-rates rate-sensitives and capex names.
• NEGATIVE — Brent &gt; $100 + CPI toward 6% (Trigger #2): shifts toward CONTRACTION, deepens all cyclical underweights — worst case for high-beta Industrials.</t>
  </si>
  <si>
    <t>MEDIUM. The regime call is Medium (rests on the volatile oil/Hormuz driver; internals dissent). Capital Goods sits at a Neutral tension — order-book support vs high-rate de-rating. Added nuance: IRCON's government-capex reliance softens the rate channel but adds policy/execution dependence the macro sheets don't capture.</t>
  </si>
  <si>
    <t>Research input for advisor review under FYNRO's RIA overlay — a top-down macro lens to sit atop bottom-up FYNRO scores. Not investment advice and not a recommendation on any security. For IRCON's own fundamentals, this lens is macro-only — use the FYNRO scoring workbook.</t>
  </si>
  <si>
    <t>LATE-CYCLE regime — MEDIUM confidence.
WHAT THE SCORE MEANS:
The economy is read as being in its "late" stage — growth slowing while inflation stays sticky. This is the phase that normally rewards steady, defensive businesses like FMCG (ITC's core). It is a description of the MACRO backdrop ITC operates in — not a rating of ITC itself.
WHY IT WAS GIVEN (formula vs. overlay):
• The 6-signal scoring formula averaged 2.33, which technically points to MID-cycle.
• I overrode that to LATE-CYCLE because 4 of the 6 signals lean late, and the heavyweight macro drivers outweigh the two that disagree:
   – Late-cycle drivers (decisive): rate cuts frozen at 5.25%, the 10Y yield climbing to 6.79% on inflation, and forward growth slowing to RBI's FY27 estimate of 6.6%.
   – Dissenters (outvoted): a cheap Nifty P/E of 20.87 and a calm VIX of 13.75 still look mid-cycle.
WHY ONLY MEDIUM CONFIDENCE:
This is a late cycle forced from OUTSIDE — the oil / Strait of Hormuz supply shock — not classic domestic overheating. It hinges on a volatile oil driver that reversed twice in 2026, and the internal market signals genuinely disagree. So the call is held at medium conviction.
(Source: Cycle Placement C12 / C13 / C14)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</si>
</sst>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charset val="1"/>
    </font>
    <font>
      <b/>
      <sz val="16"/>
      <color rgb="FFFFFFFF"/>
      <name val="Arial"/>
      <charset val="1"/>
    </font>
    <font>
      <i/>
      <sz val="10"/>
      <color rgb="FF2F6BFF"/>
      <name val="Arial"/>
      <charset val="1"/>
    </font>
    <font>
      <b/>
      <sz val="11"/>
      <color rgb="FFFFFFFF"/>
      <name val="Arial"/>
      <charset val="1"/>
    </font>
    <font>
      <b/>
      <sz val="10"/>
      <color rgb="FF000000"/>
      <name val="Arial"/>
      <charset val="1"/>
    </font>
    <font>
      <sz val="10"/>
      <color rgb="FF000000"/>
      <name val="Arial"/>
      <charset val="1"/>
    </font>
    <font>
      <b/>
      <sz val="10"/>
      <color rgb="FF006100"/>
      <name val="Arial"/>
      <charset val="1"/>
    </font>
    <font>
      <sz val="10"/>
      <color rgb="FF2F6BFF"/>
      <name val="Arial"/>
      <charset val="1"/>
    </font>
    <font>
      <b/>
      <sz val="10"/>
      <color rgb="FF2F6BFF"/>
      <name val="Arial"/>
      <charset val="1"/>
    </font>
    <font>
      <b/>
      <sz val="9"/>
      <color rgb="FF000000"/>
      <name val="Arial"/>
      <charset val="1"/>
    </font>
    <font>
      <sz val="9"/>
      <color rgb="FF000000"/>
      <name val="Arial"/>
      <charset val="1"/>
    </font>
    <font>
      <b/>
      <sz val="10"/>
      <color rgb="FF0000FF"/>
      <name val="Arial"/>
      <charset val="1"/>
    </font>
    <font>
      <sz val="8"/>
      <color rgb="FF7F6000"/>
      <name val="Arial"/>
      <charset val="1"/>
    </font>
    <font>
      <b/>
      <sz val="10"/>
      <color rgb="FFFFFFFF"/>
      <name val="Arial"/>
      <charset val="1"/>
    </font>
    <font>
      <b/>
      <sz val="10"/>
      <color rgb="FF9C0006"/>
      <name val="Arial"/>
      <charset val="1"/>
    </font>
    <font>
      <b/>
      <sz val="10"/>
      <color rgb="FF7F6000"/>
      <name val="Arial"/>
      <charset val="1"/>
    </font>
    <font>
      <b/>
      <sz val="9"/>
      <color rgb="FF1F2A44"/>
      <name val="Arial"/>
      <charset val="1"/>
    </font>
    <font>
      <sz val="8"/>
      <color rgb="FF000000"/>
      <name val="Arial"/>
      <charset val="1"/>
    </font>
    <font>
      <b/>
      <sz val="12"/>
      <color rgb="FF7F6000"/>
      <name val="Arial"/>
      <charset val="1"/>
    </font>
    <font>
      <b/>
      <sz val="9"/>
      <color rgb="FF7F6000"/>
      <name val="Arial"/>
      <charset val="1"/>
    </font>
    <font>
      <b/>
      <sz val="9"/>
      <color rgb="FF006100"/>
      <name val="Arial"/>
      <charset val="1"/>
    </font>
    <font>
      <b/>
      <sz val="9"/>
      <color rgb="FF9C0006"/>
      <name val="Arial"/>
      <charset val="1"/>
    </font>
    <font>
      <sz val="9"/>
      <color rgb="FF7F6000"/>
      <name val="Arial"/>
      <charset val="1"/>
    </font>
    <font>
      <b/>
      <sz val="11"/>
      <color rgb="FFFFFFFF"/>
      <name val="Arial"/>
    </font>
    <font>
      <sz val="9"/>
      <color rgb="FF000000"/>
      <name val="Arial"/>
    </font>
    <font>
      <sz val="11"/>
      <color rgb="FF9C0006"/>
      <name val="Arial"/>
      <family val="2"/>
    </font>
    <font>
      <sz val="11"/>
      <color rgb="FF7F6000"/>
      <name val="Arial"/>
      <family val="2"/>
    </font>
    <font>
      <sz val="11"/>
      <color rgb="FF006100"/>
      <name val="Arial"/>
      <family val="2"/>
    </font>
    <font>
      <b/>
      <sz val="11"/>
      <color rgb="FFFFFFFF"/>
      <name val="Arial"/>
      <family val="2"/>
    </font>
    <font>
      <sz val="9"/>
      <color rgb="FF000000"/>
      <name val="Arial"/>
      <family val="2"/>
    </font>
    <font>
      <b/>
      <sz val="9"/>
      <color rgb="FF000000"/>
      <name val="Arial"/>
      <family val="2"/>
    </font>
    <font>
      <b/>
      <sz val="10"/>
      <color rgb="FF006100"/>
      <name val="Arial"/>
      <family val="2"/>
    </font>
    <font>
      <b/>
      <sz val="10"/>
      <color rgb="FF7F6000"/>
      <name val="Arial"/>
      <family val="2"/>
    </font>
    <font>
      <sz val="14"/>
      <color rgb="FF000000"/>
      <name val="Arial"/>
      <family val="2"/>
    </font>
    <font>
      <sz val="14"/>
      <color theme="1"/>
      <name val="Calibri"/>
      <family val="2"/>
      <charset val="1"/>
    </font>
    <font>
      <b/>
      <sz val="16"/>
      <color rgb="FFFFFFFF"/>
      <name val="Arial"/>
    </font>
    <font>
      <i/>
      <sz val="10"/>
      <color rgb="FF2F6BFF"/>
      <name val="Arial"/>
    </font>
    <font>
      <b/>
      <sz val="12"/>
      <color rgb="FFFFFFFF"/>
      <name val="Arial"/>
    </font>
    <font>
      <b/>
      <sz val="9"/>
      <color rgb="FF000000"/>
      <name val="Arial"/>
    </font>
    <font>
      <sz val="9"/>
      <color rgb="FF7F6000"/>
      <name val="Arial"/>
    </font>
  </fonts>
  <fills count="20">
    <fill>
      <patternFill patternType="none"/>
    </fill>
    <fill>
      <patternFill patternType="gray125"/>
    </fill>
    <fill>
      <patternFill patternType="solid">
        <fgColor rgb="FF1F2A44"/>
        <bgColor rgb="FF003366"/>
      </patternFill>
    </fill>
    <fill>
      <patternFill patternType="solid">
        <fgColor rgb="FFEAF0FF"/>
        <bgColor rgb="FFF2F2F2"/>
      </patternFill>
    </fill>
    <fill>
      <patternFill patternType="solid">
        <fgColor rgb="FF2F6BFF"/>
        <bgColor rgb="FF0066CC"/>
      </patternFill>
    </fill>
    <fill>
      <patternFill patternType="solid">
        <fgColor rgb="FFF2F2F2"/>
        <bgColor rgb="FFEDF7ED"/>
      </patternFill>
    </fill>
    <fill>
      <patternFill patternType="solid">
        <fgColor rgb="FFFFC7CE"/>
        <bgColor rgb="FFFBEDED"/>
      </patternFill>
    </fill>
    <fill>
      <patternFill patternType="solid">
        <fgColor rgb="FFC6EFCE"/>
        <bgColor rgb="FFEDF7ED"/>
      </patternFill>
    </fill>
    <fill>
      <patternFill patternType="solid">
        <fgColor rgb="FFFFF7E0"/>
        <bgColor rgb="FFFBEDED"/>
      </patternFill>
    </fill>
    <fill>
      <patternFill patternType="solid">
        <fgColor rgb="FFFFEB9C"/>
        <bgColor rgb="FFFFF7E0"/>
      </patternFill>
    </fill>
    <fill>
      <patternFill patternType="solid">
        <fgColor rgb="FF1F2A44"/>
        <bgColor indexed="64"/>
      </patternFill>
    </fill>
    <fill>
      <patternFill patternType="solid">
        <fgColor rgb="FFEDF7ED"/>
        <bgColor indexed="64"/>
      </patternFill>
    </fill>
    <fill>
      <patternFill patternType="solid">
        <fgColor rgb="FFFBEDED"/>
        <bgColor indexed="64"/>
      </patternFill>
    </fill>
    <fill>
      <patternFill patternType="solid">
        <fgColor rgb="FFC6EFCE"/>
        <bgColor indexed="64"/>
      </patternFill>
    </fill>
    <fill>
      <patternFill patternType="solid">
        <fgColor rgb="FFFFEB9C"/>
        <bgColor indexed="64"/>
      </patternFill>
    </fill>
    <fill>
      <patternFill patternType="solid">
        <fgColor rgb="FFFFF2CC"/>
        <bgColor indexed="64"/>
      </patternFill>
    </fill>
    <fill>
      <patternFill patternType="solid">
        <fgColor rgb="FF2F6BFF"/>
        <bgColor indexed="64"/>
      </patternFill>
    </fill>
    <fill>
      <patternFill patternType="solid">
        <fgColor rgb="FFEAF0FF"/>
        <bgColor indexed="64"/>
      </patternFill>
    </fill>
    <fill>
      <patternFill patternType="solid">
        <fgColor rgb="FFF2F2F2"/>
        <bgColor indexed="64"/>
      </patternFill>
    </fill>
    <fill>
      <patternFill patternType="solid">
        <fgColor rgb="FFFFF7E0"/>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top style="thin">
        <color rgb="FFBFBFBF"/>
      </top>
      <bottom style="thin">
        <color rgb="FFBFBFBF"/>
      </bottom>
      <diagonal/>
    </border>
    <border>
      <left style="thin">
        <color rgb="FFBFBFBF"/>
      </left>
      <right style="thin">
        <color auto="1"/>
      </right>
      <top/>
      <bottom style="thin">
        <color auto="1"/>
      </bottom>
      <diagonal/>
    </border>
    <border>
      <left style="thin">
        <color rgb="FFBFBFBF"/>
      </left>
      <right style="thin">
        <color auto="1"/>
      </right>
      <top style="thin">
        <color auto="1"/>
      </top>
      <bottom style="thin">
        <color auto="1"/>
      </bottom>
      <diagonal/>
    </border>
    <border>
      <left style="thin">
        <color rgb="FFBFBFBF"/>
      </left>
      <right/>
      <top style="thin">
        <color rgb="FFBFBFBF"/>
      </top>
      <bottom/>
      <diagonal/>
    </border>
    <border>
      <left/>
      <right/>
      <top/>
      <bottom style="thin">
        <color rgb="FFBFBFBF"/>
      </bottom>
      <diagonal/>
    </border>
    <border>
      <left/>
      <right style="thin">
        <color rgb="FFBFBFBF"/>
      </right>
      <top/>
      <bottom/>
      <diagonal/>
    </border>
    <border>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ck">
        <color rgb="FF1F2A44"/>
      </top>
      <bottom style="thin">
        <color rgb="FFBFBFBF"/>
      </bottom>
      <diagonal/>
    </border>
  </borders>
  <cellStyleXfs count="1">
    <xf numFmtId="0" fontId="0" fillId="0" borderId="0"/>
  </cellStyleXfs>
  <cellXfs count="92">
    <xf numFmtId="0" fontId="0" fillId="0" borderId="0" xfId="0"/>
    <xf numFmtId="0" fontId="10"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13"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13" fillId="2" borderId="1" xfId="0" applyFont="1" applyFill="1" applyBorder="1" applyAlignment="1">
      <alignment horizontal="right" vertical="center" wrapText="1"/>
    </xf>
    <xf numFmtId="0" fontId="4" fillId="5" borderId="1" xfId="0" applyFont="1" applyFill="1" applyBorder="1" applyAlignment="1">
      <alignment horizontal="right" vertical="center" wrapText="1"/>
    </xf>
    <xf numFmtId="0" fontId="23" fillId="10" borderId="2" xfId="0" applyFont="1" applyFill="1" applyBorder="1" applyAlignment="1">
      <alignment horizontal="center" vertical="center" wrapText="1"/>
    </xf>
    <xf numFmtId="0" fontId="10" fillId="0" borderId="4" xfId="0" applyFont="1" applyBorder="1" applyAlignment="1">
      <alignment horizontal="left" vertical="center" wrapText="1"/>
    </xf>
    <xf numFmtId="0" fontId="24" fillId="0" borderId="5" xfId="0" applyFont="1" applyBorder="1" applyAlignment="1">
      <alignment horizontal="left" vertical="top" wrapText="1"/>
    </xf>
    <xf numFmtId="0" fontId="24" fillId="0" borderId="6" xfId="0" applyFont="1" applyBorder="1" applyAlignment="1">
      <alignment horizontal="left" vertical="top" wrapText="1"/>
    </xf>
    <xf numFmtId="0" fontId="25" fillId="6"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8" fillId="10" borderId="1" xfId="0" applyFont="1" applyFill="1" applyBorder="1" applyAlignment="1">
      <alignment horizontal="center" vertical="center" wrapText="1"/>
    </xf>
    <xf numFmtId="0" fontId="29" fillId="11" borderId="1" xfId="0" applyFont="1" applyFill="1" applyBorder="1" applyAlignment="1">
      <alignment horizontal="left" vertical="top" wrapText="1"/>
    </xf>
    <xf numFmtId="0" fontId="30" fillId="12" borderId="1" xfId="0" applyFont="1" applyFill="1" applyBorder="1" applyAlignment="1">
      <alignment horizontal="left" vertical="top" wrapText="1"/>
    </xf>
    <xf numFmtId="0" fontId="29" fillId="12" borderId="1" xfId="0" applyFont="1" applyFill="1" applyBorder="1" applyAlignment="1">
      <alignment horizontal="left" vertical="top" wrapText="1"/>
    </xf>
    <xf numFmtId="0" fontId="31" fillId="13" borderId="1" xfId="0" applyFont="1" applyFill="1" applyBorder="1" applyAlignment="1">
      <alignment horizontal="center" vertical="center"/>
    </xf>
    <xf numFmtId="0" fontId="32" fillId="14" borderId="1" xfId="0" applyFont="1" applyFill="1" applyBorder="1" applyAlignment="1">
      <alignment horizontal="center" vertical="center"/>
    </xf>
    <xf numFmtId="0" fontId="3" fillId="2" borderId="4" xfId="0" applyFont="1" applyFill="1" applyBorder="1" applyAlignment="1">
      <alignment horizontal="center" vertical="center" wrapText="1"/>
    </xf>
    <xf numFmtId="0" fontId="29" fillId="0" borderId="1" xfId="0" applyFont="1" applyBorder="1" applyAlignment="1">
      <alignment horizontal="left" vertical="top" wrapText="1"/>
    </xf>
    <xf numFmtId="0" fontId="29" fillId="15" borderId="1" xfId="0" applyFont="1" applyFill="1" applyBorder="1" applyAlignment="1">
      <alignment horizontal="left" vertical="top" wrapText="1"/>
    </xf>
    <xf numFmtId="0" fontId="3" fillId="2" borderId="17"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9" fillId="0" borderId="17" xfId="0" applyFont="1" applyBorder="1" applyAlignment="1">
      <alignment horizontal="left" vertical="center" wrapText="1"/>
    </xf>
    <xf numFmtId="0" fontId="10" fillId="0" borderId="17" xfId="0" applyFont="1" applyBorder="1" applyAlignment="1">
      <alignment horizontal="left" vertical="center" wrapText="1"/>
    </xf>
    <xf numFmtId="0" fontId="38" fillId="18" borderId="1" xfId="0" applyFont="1" applyFill="1" applyBorder="1" applyAlignment="1">
      <alignment horizontal="left" vertical="top" wrapText="1"/>
    </xf>
    <xf numFmtId="0" fontId="24" fillId="0" borderId="1" xfId="0" applyFont="1" applyBorder="1" applyAlignment="1">
      <alignment horizontal="left" vertical="top" wrapText="1"/>
    </xf>
    <xf numFmtId="0" fontId="38" fillId="14" borderId="1" xfId="0" applyFont="1" applyFill="1" applyBorder="1" applyAlignment="1">
      <alignment horizontal="left" vertical="top" wrapText="1"/>
    </xf>
    <xf numFmtId="0" fontId="24" fillId="14" borderId="1" xfId="0" applyFont="1" applyFill="1" applyBorder="1" applyAlignment="1">
      <alignment horizontal="left" vertical="top" wrapText="1"/>
    </xf>
    <xf numFmtId="0" fontId="24" fillId="17" borderId="1" xfId="0" applyFont="1" applyFill="1" applyBorder="1" applyAlignment="1">
      <alignment horizontal="left" vertical="top" wrapText="1"/>
    </xf>
    <xf numFmtId="0" fontId="38" fillId="19" borderId="1" xfId="0" applyFont="1" applyFill="1" applyBorder="1" applyAlignment="1">
      <alignment horizontal="left" vertical="top" wrapText="1"/>
    </xf>
    <xf numFmtId="0" fontId="39" fillId="19" borderId="1" xfId="0" applyFont="1" applyFill="1" applyBorder="1" applyAlignment="1">
      <alignment horizontal="left" vertical="top" wrapText="1"/>
    </xf>
    <xf numFmtId="0" fontId="38" fillId="18" borderId="16" xfId="0" applyFont="1" applyFill="1" applyBorder="1" applyAlignment="1">
      <alignment horizontal="left" vertical="top" wrapText="1"/>
    </xf>
    <xf numFmtId="0" fontId="24" fillId="0" borderId="16" xfId="0" applyFont="1" applyBorder="1" applyAlignment="1">
      <alignment horizontal="left" vertical="top" wrapText="1"/>
    </xf>
    <xf numFmtId="0" fontId="35" fillId="10" borderId="0" xfId="0" applyFont="1" applyFill="1" applyAlignment="1">
      <alignment horizontal="left" vertical="center" wrapText="1"/>
    </xf>
    <xf numFmtId="0" fontId="36" fillId="17" borderId="0" xfId="0" applyFont="1" applyFill="1" applyAlignment="1">
      <alignment horizontal="left" vertical="center" wrapText="1"/>
    </xf>
    <xf numFmtId="0" fontId="37" fillId="16" borderId="1" xfId="0" applyFont="1" applyFill="1" applyBorder="1" applyAlignment="1">
      <alignment horizontal="left" vertical="center" wrapText="1"/>
    </xf>
    <xf numFmtId="0" fontId="37" fillId="16" borderId="18" xfId="0" applyFont="1" applyFill="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12" fillId="8"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7" fillId="0" borderId="1" xfId="0" applyFont="1" applyBorder="1" applyAlignment="1">
      <alignment horizontal="center" vertical="center" wrapText="1"/>
    </xf>
    <xf numFmtId="0" fontId="18" fillId="9" borderId="1" xfId="0" applyFont="1" applyFill="1" applyBorder="1" applyAlignment="1">
      <alignment horizontal="center" vertical="center" wrapText="1"/>
    </xf>
    <xf numFmtId="0" fontId="19" fillId="9" borderId="1" xfId="0" applyFont="1" applyFill="1" applyBorder="1" applyAlignment="1">
      <alignment horizontal="left" vertical="center" wrapText="1"/>
    </xf>
    <xf numFmtId="0" fontId="10" fillId="0" borderId="4" xfId="0" applyFont="1" applyBorder="1" applyAlignment="1">
      <alignment horizontal="left" vertical="top" wrapText="1"/>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3" fillId="2"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28" fillId="16" borderId="7" xfId="0" applyFont="1" applyFill="1" applyBorder="1" applyAlignment="1">
      <alignment horizontal="center" vertical="center"/>
    </xf>
    <xf numFmtId="0" fontId="0" fillId="0" borderId="13" xfId="0" applyBorder="1"/>
    <xf numFmtId="0" fontId="0" fillId="0" borderId="15" xfId="0" applyBorder="1"/>
    <xf numFmtId="0" fontId="33" fillId="17" borderId="7" xfId="0" applyFont="1" applyFill="1" applyBorder="1" applyAlignment="1">
      <alignment horizontal="left" vertical="top" wrapText="1"/>
    </xf>
    <xf numFmtId="0" fontId="34" fillId="0" borderId="13" xfId="0" applyFont="1" applyBorder="1"/>
    <xf numFmtId="0" fontId="34" fillId="0" borderId="15" xfId="0" applyFont="1" applyBorder="1"/>
    <xf numFmtId="0" fontId="34" fillId="0" borderId="3" xfId="0" applyFont="1" applyBorder="1"/>
    <xf numFmtId="0" fontId="34" fillId="0" borderId="0" xfId="0" applyFont="1"/>
    <xf numFmtId="0" fontId="34" fillId="0" borderId="9" xfId="0" applyFont="1" applyBorder="1"/>
    <xf numFmtId="0" fontId="34" fillId="0" borderId="14" xfId="0" applyFont="1" applyBorder="1"/>
    <xf numFmtId="0" fontId="34" fillId="0" borderId="8" xfId="0" applyFont="1" applyBorder="1"/>
    <xf numFmtId="0" fontId="34" fillId="0" borderId="10" xfId="0" applyFont="1" applyBorder="1"/>
    <xf numFmtId="0" fontId="6" fillId="9"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1" fillId="2" borderId="17" xfId="0" applyFont="1" applyFill="1" applyBorder="1" applyAlignment="1">
      <alignment horizontal="center" vertical="center"/>
    </xf>
    <xf numFmtId="0" fontId="2" fillId="3" borderId="17" xfId="0" applyFont="1" applyFill="1" applyBorder="1" applyAlignment="1">
      <alignment horizontal="left" vertical="center" indent="1"/>
    </xf>
    <xf numFmtId="0" fontId="3" fillId="4"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7E0"/>
      <rgbColor rgb="FFEDF7ED"/>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EAF0FF"/>
      <rgbColor rgb="FFC6EFCE"/>
      <rgbColor rgb="FFFFEB9C"/>
      <rgbColor rgb="FFFBEDED"/>
      <rgbColor rgb="FFFF99CC"/>
      <rgbColor rgb="FFCC99FF"/>
      <rgbColor rgb="FFFFC7CE"/>
      <rgbColor rgb="FF2F6B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ACED8FE-E5DE-42FE-ABD1-B7809C01E0E4}">
  <we:reference id="WA200009404" version="1.0.0.8" store="Omex" storeType="OMEX"/>
  <we:alternateReferences>
    <we:reference id="WA200009404" version="1.0.0.8" store="WA200009404" storeType="OMEX"/>
  </we:alternateReferences>
  <we:properties>
    <we:property name="claude.fileId" value="&quot;879e6b9b-87a3-4681-ada4-786a01a538c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30"/>
  <sheetViews>
    <sheetView showGridLines="0" zoomScaleNormal="100" workbookViewId="0"/>
  </sheetViews>
  <sheetFormatPr defaultColWidth="8.6328125" defaultRowHeight="14.5" x14ac:dyDescent="0.35"/>
  <cols>
    <col min="1" max="1" width="3.54296875" customWidth="1"/>
    <col min="2" max="2" width="20.54296875" bestFit="1" customWidth="1"/>
    <col min="3" max="3" width="22" customWidth="1"/>
    <col min="4" max="4" width="14" customWidth="1"/>
    <col min="5" max="5" width="20" customWidth="1"/>
    <col min="6" max="7" width="16" customWidth="1"/>
  </cols>
  <sheetData>
    <row r="1" spans="2:7" ht="30" customHeight="1" x14ac:dyDescent="0.35">
      <c r="B1" s="62" t="s">
        <v>0</v>
      </c>
      <c r="C1" s="62"/>
      <c r="D1" s="62"/>
      <c r="E1" s="62"/>
      <c r="F1" s="62"/>
      <c r="G1" s="62"/>
    </row>
    <row r="2" spans="2:7" ht="18" customHeight="1" x14ac:dyDescent="0.35">
      <c r="B2" s="63" t="s">
        <v>1</v>
      </c>
      <c r="C2" s="63"/>
      <c r="D2" s="63"/>
      <c r="E2" s="63"/>
      <c r="F2" s="63"/>
      <c r="G2" s="63"/>
    </row>
    <row r="3" spans="2:7" ht="15" customHeight="1" x14ac:dyDescent="0.35">
      <c r="B3" s="60" t="s">
        <v>2</v>
      </c>
      <c r="C3" s="60"/>
      <c r="D3" s="60"/>
      <c r="E3" s="60"/>
      <c r="F3" s="60"/>
      <c r="G3" s="60"/>
    </row>
    <row r="4" spans="2:7" ht="15" customHeight="1" x14ac:dyDescent="0.35">
      <c r="B4" s="2" t="s">
        <v>3</v>
      </c>
      <c r="C4" s="61" t="s">
        <v>4</v>
      </c>
      <c r="D4" s="61"/>
      <c r="E4" s="61"/>
      <c r="F4" s="61" t="s">
        <v>5</v>
      </c>
      <c r="G4" s="61"/>
    </row>
    <row r="5" spans="2:7" ht="30" customHeight="1" x14ac:dyDescent="0.35">
      <c r="B5" s="4" t="s">
        <v>6</v>
      </c>
      <c r="C5" s="57" t="s">
        <v>7</v>
      </c>
      <c r="D5" s="57"/>
      <c r="E5" s="57"/>
      <c r="F5" s="57" t="s">
        <v>8</v>
      </c>
      <c r="G5" s="57"/>
    </row>
    <row r="6" spans="2:7" ht="30" customHeight="1" x14ac:dyDescent="0.35">
      <c r="B6" s="4" t="s">
        <v>9</v>
      </c>
      <c r="C6" s="57" t="s">
        <v>10</v>
      </c>
      <c r="D6" s="57"/>
      <c r="E6" s="57"/>
      <c r="F6" s="57" t="s">
        <v>11</v>
      </c>
      <c r="G6" s="57"/>
    </row>
    <row r="7" spans="2:7" ht="30" customHeight="1" x14ac:dyDescent="0.35">
      <c r="B7" s="4" t="s">
        <v>12</v>
      </c>
      <c r="C7" s="57" t="s">
        <v>13</v>
      </c>
      <c r="D7" s="57"/>
      <c r="E7" s="57"/>
      <c r="F7" s="57" t="s">
        <v>14</v>
      </c>
      <c r="G7" s="57"/>
    </row>
    <row r="8" spans="2:7" ht="30" customHeight="1" x14ac:dyDescent="0.35">
      <c r="B8" s="4" t="s">
        <v>15</v>
      </c>
      <c r="C8" s="57" t="s">
        <v>16</v>
      </c>
      <c r="D8" s="57"/>
      <c r="E8" s="57"/>
      <c r="F8" s="57" t="s">
        <v>17</v>
      </c>
      <c r="G8" s="57"/>
    </row>
    <row r="9" spans="2:7" ht="30" customHeight="1" x14ac:dyDescent="0.35">
      <c r="B9" s="4" t="s">
        <v>18</v>
      </c>
      <c r="C9" s="57" t="s">
        <v>19</v>
      </c>
      <c r="D9" s="57"/>
      <c r="E9" s="57"/>
      <c r="F9" s="57" t="s">
        <v>20</v>
      </c>
      <c r="G9" s="57"/>
    </row>
    <row r="10" spans="2:7" ht="30" customHeight="1" x14ac:dyDescent="0.35">
      <c r="B10" s="4" t="s">
        <v>21</v>
      </c>
      <c r="C10" s="57" t="s">
        <v>22</v>
      </c>
      <c r="D10" s="57"/>
      <c r="E10" s="57"/>
      <c r="F10" s="57" t="s">
        <v>23</v>
      </c>
      <c r="G10" s="57"/>
    </row>
    <row r="12" spans="2:7" ht="15" customHeight="1" x14ac:dyDescent="0.35">
      <c r="B12" s="60" t="s">
        <v>24</v>
      </c>
      <c r="C12" s="60"/>
      <c r="D12" s="60"/>
      <c r="E12" s="60"/>
      <c r="F12" s="60"/>
      <c r="G12" s="60"/>
    </row>
    <row r="13" spans="2:7" ht="15" customHeight="1" x14ac:dyDescent="0.35">
      <c r="B13" s="2" t="s">
        <v>25</v>
      </c>
      <c r="C13" s="61" t="s">
        <v>26</v>
      </c>
      <c r="D13" s="61"/>
      <c r="E13" s="61" t="s">
        <v>27</v>
      </c>
      <c r="F13" s="61"/>
      <c r="G13" s="61"/>
    </row>
    <row r="14" spans="2:7" ht="15" customHeight="1" x14ac:dyDescent="0.35">
      <c r="B14" s="4" t="s">
        <v>28</v>
      </c>
      <c r="C14" s="58" t="str">
        <f>'Indicator Dashboard'!D4</f>
        <v>5.25% (neutral)</v>
      </c>
      <c r="D14" s="58"/>
      <c r="E14" s="59" t="s">
        <v>29</v>
      </c>
      <c r="F14" s="59"/>
      <c r="G14" s="59"/>
    </row>
    <row r="15" spans="2:7" ht="15" customHeight="1" x14ac:dyDescent="0.35">
      <c r="B15" s="4" t="s">
        <v>30</v>
      </c>
      <c r="C15" s="58" t="str">
        <f>'Indicator Dashboard'!D9</f>
        <v>4.38%</v>
      </c>
      <c r="D15" s="58"/>
      <c r="E15" s="59" t="s">
        <v>29</v>
      </c>
      <c r="F15" s="59"/>
      <c r="G15" s="59"/>
    </row>
    <row r="16" spans="2:7" ht="15" customHeight="1" x14ac:dyDescent="0.35">
      <c r="B16" s="4" t="s">
        <v>31</v>
      </c>
      <c r="C16" s="58" t="str">
        <f>'Indicator Dashboard'!D7</f>
        <v>7.8%</v>
      </c>
      <c r="D16" s="58"/>
      <c r="E16" s="59" t="s">
        <v>29</v>
      </c>
      <c r="F16" s="59"/>
      <c r="G16" s="59"/>
    </row>
    <row r="17" spans="2:7" ht="15" customHeight="1" x14ac:dyDescent="0.35">
      <c r="B17" s="4" t="s">
        <v>32</v>
      </c>
      <c r="C17" s="58" t="str">
        <f>'Indicator Dashboard'!D16</f>
        <v>~$85</v>
      </c>
      <c r="D17" s="58"/>
      <c r="E17" s="59" t="s">
        <v>29</v>
      </c>
      <c r="F17" s="59"/>
      <c r="G17" s="59"/>
    </row>
    <row r="18" spans="2:7" ht="15" customHeight="1" x14ac:dyDescent="0.35">
      <c r="B18" s="4" t="s">
        <v>33</v>
      </c>
      <c r="C18" s="58" t="str">
        <f>'Indicator Dashboard'!D14</f>
        <v>96.20</v>
      </c>
      <c r="D18" s="58"/>
      <c r="E18" s="59" t="s">
        <v>29</v>
      </c>
      <c r="F18" s="59"/>
      <c r="G18" s="59"/>
    </row>
    <row r="19" spans="2:7" ht="15" customHeight="1" x14ac:dyDescent="0.35">
      <c r="B19" s="4" t="s">
        <v>34</v>
      </c>
      <c r="C19" s="58" t="str">
        <f>'Indicator Dashboard'!D17</f>
        <v>20.87</v>
      </c>
      <c r="D19" s="58"/>
      <c r="E19" s="59" t="s">
        <v>29</v>
      </c>
      <c r="F19" s="59"/>
      <c r="G19" s="59"/>
    </row>
    <row r="20" spans="2:7" ht="15" customHeight="1" x14ac:dyDescent="0.35">
      <c r="B20" s="4" t="s">
        <v>35</v>
      </c>
      <c r="C20" s="58" t="str">
        <f>'Cycle Placement'!C12</f>
        <v>MID</v>
      </c>
      <c r="D20" s="58"/>
      <c r="E20" s="59" t="s">
        <v>36</v>
      </c>
      <c r="F20" s="59"/>
      <c r="G20" s="59"/>
    </row>
    <row r="21" spans="2:7" ht="15" customHeight="1" x14ac:dyDescent="0.35">
      <c r="B21" s="4" t="s">
        <v>37</v>
      </c>
      <c r="C21" s="58">
        <f>COUNTIF(Positioning!E5:E15,"Overweight")</f>
        <v>3</v>
      </c>
      <c r="D21" s="58"/>
      <c r="E21" s="59" t="s">
        <v>38</v>
      </c>
      <c r="F21" s="59"/>
      <c r="G21" s="59"/>
    </row>
    <row r="22" spans="2:7" ht="15" customHeight="1" x14ac:dyDescent="0.35">
      <c r="B22" s="4" t="s">
        <v>39</v>
      </c>
      <c r="C22" s="58">
        <f>COUNTIF(Positioning!E5:E15,"Underweight")</f>
        <v>3</v>
      </c>
      <c r="D22" s="58"/>
      <c r="E22" s="59" t="s">
        <v>38</v>
      </c>
      <c r="F22" s="59"/>
      <c r="G22" s="59"/>
    </row>
    <row r="24" spans="2:7" ht="15" customHeight="1" x14ac:dyDescent="0.35">
      <c r="B24" s="60" t="s">
        <v>40</v>
      </c>
      <c r="C24" s="60"/>
      <c r="D24" s="60"/>
      <c r="E24" s="60"/>
      <c r="F24" s="60"/>
      <c r="G24" s="60"/>
    </row>
    <row r="25" spans="2:7" ht="24" customHeight="1" x14ac:dyDescent="0.35">
      <c r="B25" s="5" t="s">
        <v>41</v>
      </c>
      <c r="C25" s="57" t="s">
        <v>42</v>
      </c>
      <c r="D25" s="57"/>
      <c r="E25" s="57"/>
      <c r="F25" s="57"/>
      <c r="G25" s="57"/>
    </row>
    <row r="26" spans="2:7" ht="24" customHeight="1" x14ac:dyDescent="0.35">
      <c r="B26" s="5" t="s">
        <v>43</v>
      </c>
      <c r="C26" s="57" t="s">
        <v>44</v>
      </c>
      <c r="D26" s="57"/>
      <c r="E26" s="57"/>
      <c r="F26" s="57"/>
      <c r="G26" s="57"/>
    </row>
    <row r="27" spans="2:7" ht="24" customHeight="1" x14ac:dyDescent="0.35">
      <c r="B27" s="5" t="s">
        <v>45</v>
      </c>
      <c r="C27" s="57" t="s">
        <v>46</v>
      </c>
      <c r="D27" s="57"/>
      <c r="E27" s="57"/>
      <c r="F27" s="57"/>
      <c r="G27" s="57"/>
    </row>
    <row r="28" spans="2:7" ht="24" customHeight="1" x14ac:dyDescent="0.35">
      <c r="B28" s="5" t="s">
        <v>47</v>
      </c>
      <c r="C28" s="57" t="s">
        <v>48</v>
      </c>
      <c r="D28" s="57"/>
      <c r="E28" s="57"/>
      <c r="F28" s="57"/>
      <c r="G28" s="57"/>
    </row>
    <row r="29" spans="2:7" ht="24" customHeight="1" x14ac:dyDescent="0.35">
      <c r="B29" s="5" t="s">
        <v>49</v>
      </c>
      <c r="C29" s="57" t="s">
        <v>50</v>
      </c>
      <c r="D29" s="57"/>
      <c r="E29" s="57"/>
      <c r="F29" s="57"/>
      <c r="G29" s="57"/>
    </row>
    <row r="30" spans="2:7" ht="24" customHeight="1" x14ac:dyDescent="0.35">
      <c r="B30" s="5" t="s">
        <v>51</v>
      </c>
      <c r="C30" s="57" t="s">
        <v>52</v>
      </c>
      <c r="D30" s="57"/>
      <c r="E30" s="57"/>
      <c r="F30" s="57"/>
      <c r="G30" s="57"/>
    </row>
  </sheetData>
  <mergeCells count="45">
    <mergeCell ref="B1:G1"/>
    <mergeCell ref="B2:G2"/>
    <mergeCell ref="B3:G3"/>
    <mergeCell ref="C4:E4"/>
    <mergeCell ref="F4:G4"/>
    <mergeCell ref="C5:E5"/>
    <mergeCell ref="F5:G5"/>
    <mergeCell ref="C6:E6"/>
    <mergeCell ref="F6:G6"/>
    <mergeCell ref="C7:E7"/>
    <mergeCell ref="F7:G7"/>
    <mergeCell ref="C8:E8"/>
    <mergeCell ref="F8:G8"/>
    <mergeCell ref="C9:E9"/>
    <mergeCell ref="F9:G9"/>
    <mergeCell ref="C10:E10"/>
    <mergeCell ref="F10:G10"/>
    <mergeCell ref="B12:G12"/>
    <mergeCell ref="C13:D13"/>
    <mergeCell ref="E13:G13"/>
    <mergeCell ref="C14:D14"/>
    <mergeCell ref="E14:G14"/>
    <mergeCell ref="C15:D15"/>
    <mergeCell ref="E15:G15"/>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B24:G24"/>
    <mergeCell ref="C30:G30"/>
    <mergeCell ref="C25:G25"/>
    <mergeCell ref="C26:G26"/>
    <mergeCell ref="C27:G27"/>
    <mergeCell ref="C28:G28"/>
    <mergeCell ref="C29:G2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3"/>
  <sheetViews>
    <sheetView showGridLines="0" topLeftCell="B1" zoomScale="112" zoomScaleNormal="112" workbookViewId="0">
      <pane ySplit="3" topLeftCell="A4" activePane="bottomLeft" state="frozen"/>
      <selection pane="bottomLeft" activeCell="I5" sqref="I5"/>
    </sheetView>
  </sheetViews>
  <sheetFormatPr defaultColWidth="8.6328125" defaultRowHeight="14.5" x14ac:dyDescent="0.35"/>
  <cols>
    <col min="1" max="1" width="4.36328125" customWidth="1"/>
    <col min="2" max="2" width="16" customWidth="1"/>
    <col min="3" max="3" width="30" customWidth="1"/>
    <col min="4" max="4" width="26" customWidth="1"/>
    <col min="5" max="5" width="16" customWidth="1"/>
    <col min="6" max="6" width="26" customWidth="1"/>
    <col min="7" max="8" width="20" customWidth="1"/>
    <col min="9" max="9" width="61.81640625" customWidth="1"/>
  </cols>
  <sheetData>
    <row r="1" spans="2:9" ht="30" customHeight="1" x14ac:dyDescent="0.35">
      <c r="B1" s="62" t="s">
        <v>53</v>
      </c>
      <c r="C1" s="62"/>
      <c r="D1" s="62"/>
      <c r="E1" s="62"/>
      <c r="F1" s="62"/>
      <c r="G1" s="62"/>
      <c r="H1" s="62"/>
    </row>
    <row r="2" spans="2:9" ht="18" customHeight="1" x14ac:dyDescent="0.35">
      <c r="B2" s="63" t="s">
        <v>54</v>
      </c>
      <c r="C2" s="63"/>
      <c r="D2" s="63"/>
      <c r="E2" s="63"/>
      <c r="F2" s="63"/>
      <c r="G2" s="63"/>
      <c r="H2" s="63"/>
    </row>
    <row r="3" spans="2:9" ht="15" customHeight="1" x14ac:dyDescent="0.35">
      <c r="B3" s="2" t="s">
        <v>55</v>
      </c>
      <c r="C3" s="2" t="s">
        <v>56</v>
      </c>
      <c r="D3" s="2" t="s">
        <v>57</v>
      </c>
      <c r="E3" s="2" t="s">
        <v>58</v>
      </c>
      <c r="F3" s="2" t="s">
        <v>59</v>
      </c>
      <c r="G3" s="2" t="s">
        <v>60</v>
      </c>
      <c r="H3" s="2" t="s">
        <v>61</v>
      </c>
      <c r="I3" s="24" t="s">
        <v>342</v>
      </c>
    </row>
    <row r="4" spans="2:9" ht="46" x14ac:dyDescent="0.35">
      <c r="B4" s="6" t="s">
        <v>62</v>
      </c>
      <c r="C4" s="1" t="s">
        <v>63</v>
      </c>
      <c r="D4" s="7" t="s">
        <v>64</v>
      </c>
      <c r="E4" s="8" t="s">
        <v>65</v>
      </c>
      <c r="F4" s="8" t="s">
        <v>66</v>
      </c>
      <c r="G4" s="1" t="s">
        <v>67</v>
      </c>
      <c r="H4" s="25" t="s">
        <v>68</v>
      </c>
      <c r="I4" s="26" t="s">
        <v>324</v>
      </c>
    </row>
    <row r="5" spans="2:9" ht="34.5" x14ac:dyDescent="0.35">
      <c r="B5" s="6" t="s">
        <v>62</v>
      </c>
      <c r="C5" s="1" t="s">
        <v>69</v>
      </c>
      <c r="D5" s="7" t="s">
        <v>70</v>
      </c>
      <c r="E5" s="8" t="s">
        <v>71</v>
      </c>
      <c r="F5" s="9" t="s">
        <v>72</v>
      </c>
      <c r="G5" s="1" t="s">
        <v>73</v>
      </c>
      <c r="H5" s="25" t="s">
        <v>74</v>
      </c>
      <c r="I5" s="27" t="s">
        <v>325</v>
      </c>
    </row>
    <row r="6" spans="2:9" ht="23" x14ac:dyDescent="0.35">
      <c r="B6" s="6" t="s">
        <v>62</v>
      </c>
      <c r="C6" s="1" t="s">
        <v>75</v>
      </c>
      <c r="D6" s="7" t="s">
        <v>76</v>
      </c>
      <c r="E6" s="8" t="s">
        <v>77</v>
      </c>
      <c r="F6" s="10" t="s">
        <v>78</v>
      </c>
      <c r="G6" s="1" t="s">
        <v>73</v>
      </c>
      <c r="H6" s="25" t="s">
        <v>74</v>
      </c>
      <c r="I6" s="27" t="s">
        <v>326</v>
      </c>
    </row>
    <row r="7" spans="2:9" ht="34.5" x14ac:dyDescent="0.35">
      <c r="B7" s="6" t="s">
        <v>79</v>
      </c>
      <c r="C7" s="1" t="s">
        <v>80</v>
      </c>
      <c r="D7" s="7" t="s">
        <v>81</v>
      </c>
      <c r="E7" s="8" t="s">
        <v>82</v>
      </c>
      <c r="F7" s="9" t="s">
        <v>83</v>
      </c>
      <c r="G7" s="1" t="s">
        <v>84</v>
      </c>
      <c r="H7" s="25" t="s">
        <v>68</v>
      </c>
      <c r="I7" s="27" t="s">
        <v>327</v>
      </c>
    </row>
    <row r="8" spans="2:9" ht="23" x14ac:dyDescent="0.35">
      <c r="B8" s="6" t="s">
        <v>79</v>
      </c>
      <c r="C8" s="1" t="s">
        <v>85</v>
      </c>
      <c r="D8" s="7" t="s">
        <v>86</v>
      </c>
      <c r="E8" s="8" t="s">
        <v>87</v>
      </c>
      <c r="F8" s="10" t="s">
        <v>88</v>
      </c>
      <c r="G8" s="1" t="s">
        <v>84</v>
      </c>
      <c r="H8" s="25" t="s">
        <v>74</v>
      </c>
      <c r="I8" s="27" t="s">
        <v>328</v>
      </c>
    </row>
    <row r="9" spans="2:9" ht="34.5" x14ac:dyDescent="0.35">
      <c r="B9" s="6" t="s">
        <v>89</v>
      </c>
      <c r="C9" s="1" t="s">
        <v>30</v>
      </c>
      <c r="D9" s="7" t="s">
        <v>90</v>
      </c>
      <c r="E9" s="8" t="s">
        <v>91</v>
      </c>
      <c r="F9" s="10" t="s">
        <v>92</v>
      </c>
      <c r="G9" s="1" t="s">
        <v>84</v>
      </c>
      <c r="H9" s="25" t="s">
        <v>93</v>
      </c>
      <c r="I9" s="27" t="s">
        <v>329</v>
      </c>
    </row>
    <row r="10" spans="2:9" ht="23" x14ac:dyDescent="0.35">
      <c r="B10" s="6" t="s">
        <v>89</v>
      </c>
      <c r="C10" s="1" t="s">
        <v>94</v>
      </c>
      <c r="D10" s="7" t="s">
        <v>95</v>
      </c>
      <c r="E10" s="8" t="s">
        <v>96</v>
      </c>
      <c r="F10" s="10" t="s">
        <v>78</v>
      </c>
      <c r="G10" s="1" t="s">
        <v>84</v>
      </c>
      <c r="H10" s="25" t="s">
        <v>74</v>
      </c>
      <c r="I10" s="27" t="s">
        <v>330</v>
      </c>
    </row>
    <row r="11" spans="2:9" ht="34.5" x14ac:dyDescent="0.35">
      <c r="B11" s="6" t="s">
        <v>79</v>
      </c>
      <c r="C11" s="1" t="s">
        <v>97</v>
      </c>
      <c r="D11" s="7" t="s">
        <v>98</v>
      </c>
      <c r="E11" s="8" t="s">
        <v>99</v>
      </c>
      <c r="F11" s="10" t="s">
        <v>100</v>
      </c>
      <c r="G11" s="1" t="s">
        <v>101</v>
      </c>
      <c r="H11" s="25" t="s">
        <v>74</v>
      </c>
      <c r="I11" s="27" t="s">
        <v>331</v>
      </c>
    </row>
    <row r="12" spans="2:9" ht="23" x14ac:dyDescent="0.35">
      <c r="B12" s="6" t="s">
        <v>79</v>
      </c>
      <c r="C12" s="1" t="s">
        <v>102</v>
      </c>
      <c r="D12" s="7" t="s">
        <v>103</v>
      </c>
      <c r="E12" s="8" t="s">
        <v>104</v>
      </c>
      <c r="F12" s="10" t="s">
        <v>105</v>
      </c>
      <c r="G12" s="1" t="s">
        <v>101</v>
      </c>
      <c r="H12" s="25" t="s">
        <v>74</v>
      </c>
      <c r="I12" s="27" t="s">
        <v>332</v>
      </c>
    </row>
    <row r="13" spans="2:9" ht="34.5" x14ac:dyDescent="0.35">
      <c r="B13" s="6" t="s">
        <v>106</v>
      </c>
      <c r="C13" s="1" t="s">
        <v>107</v>
      </c>
      <c r="D13" s="7" t="s">
        <v>108</v>
      </c>
      <c r="E13" s="8" t="s">
        <v>109</v>
      </c>
      <c r="F13" s="10" t="s">
        <v>110</v>
      </c>
      <c r="G13" s="1" t="s">
        <v>111</v>
      </c>
      <c r="H13" s="25" t="s">
        <v>112</v>
      </c>
      <c r="I13" s="27" t="s">
        <v>333</v>
      </c>
    </row>
    <row r="14" spans="2:9" ht="34.5" x14ac:dyDescent="0.35">
      <c r="B14" s="6" t="s">
        <v>113</v>
      </c>
      <c r="C14" s="1" t="s">
        <v>33</v>
      </c>
      <c r="D14" s="7" t="s">
        <v>114</v>
      </c>
      <c r="E14" s="8" t="s">
        <v>115</v>
      </c>
      <c r="F14" s="10" t="s">
        <v>116</v>
      </c>
      <c r="G14" s="1" t="s">
        <v>111</v>
      </c>
      <c r="H14" s="25" t="s">
        <v>112</v>
      </c>
      <c r="I14" s="27" t="s">
        <v>334</v>
      </c>
    </row>
    <row r="15" spans="2:9" ht="23" x14ac:dyDescent="0.35">
      <c r="B15" s="6" t="s">
        <v>113</v>
      </c>
      <c r="C15" s="1" t="s">
        <v>117</v>
      </c>
      <c r="D15" s="7" t="s">
        <v>118</v>
      </c>
      <c r="E15" s="8" t="s">
        <v>119</v>
      </c>
      <c r="F15" s="9" t="s">
        <v>120</v>
      </c>
      <c r="G15" s="1" t="s">
        <v>121</v>
      </c>
      <c r="H15" s="25" t="s">
        <v>122</v>
      </c>
      <c r="I15" s="27" t="s">
        <v>335</v>
      </c>
    </row>
    <row r="16" spans="2:9" ht="23" x14ac:dyDescent="0.35">
      <c r="B16" s="6" t="s">
        <v>123</v>
      </c>
      <c r="C16" s="1" t="s">
        <v>32</v>
      </c>
      <c r="D16" s="7" t="s">
        <v>124</v>
      </c>
      <c r="E16" s="8" t="s">
        <v>125</v>
      </c>
      <c r="F16" s="10" t="s">
        <v>126</v>
      </c>
      <c r="G16" s="1" t="s">
        <v>127</v>
      </c>
      <c r="H16" s="25" t="s">
        <v>128</v>
      </c>
      <c r="I16" s="27" t="s">
        <v>336</v>
      </c>
    </row>
    <row r="17" spans="2:9" ht="34.5" x14ac:dyDescent="0.35">
      <c r="B17" s="6" t="s">
        <v>129</v>
      </c>
      <c r="C17" s="1" t="s">
        <v>130</v>
      </c>
      <c r="D17" s="7" t="s">
        <v>131</v>
      </c>
      <c r="E17" s="8" t="s">
        <v>132</v>
      </c>
      <c r="F17" s="8" t="s">
        <v>133</v>
      </c>
      <c r="G17" s="1" t="s">
        <v>134</v>
      </c>
      <c r="H17" s="25" t="s">
        <v>135</v>
      </c>
      <c r="I17" s="27" t="s">
        <v>337</v>
      </c>
    </row>
    <row r="18" spans="2:9" ht="34.5" x14ac:dyDescent="0.35">
      <c r="B18" s="6" t="s">
        <v>129</v>
      </c>
      <c r="C18" s="1" t="s">
        <v>136</v>
      </c>
      <c r="D18" s="7" t="s">
        <v>137</v>
      </c>
      <c r="E18" s="8" t="s">
        <v>132</v>
      </c>
      <c r="F18" s="8" t="s">
        <v>138</v>
      </c>
      <c r="G18" s="1" t="s">
        <v>134</v>
      </c>
      <c r="H18" s="25" t="s">
        <v>139</v>
      </c>
      <c r="I18" s="27" t="s">
        <v>338</v>
      </c>
    </row>
    <row r="19" spans="2:9" ht="23" x14ac:dyDescent="0.35">
      <c r="B19" s="6" t="s">
        <v>140</v>
      </c>
      <c r="C19" s="1" t="s">
        <v>141</v>
      </c>
      <c r="D19" s="7" t="s">
        <v>142</v>
      </c>
      <c r="E19" s="8" t="s">
        <v>143</v>
      </c>
      <c r="F19" s="8" t="s">
        <v>144</v>
      </c>
      <c r="G19" s="1" t="s">
        <v>145</v>
      </c>
      <c r="H19" s="25" t="s">
        <v>112</v>
      </c>
      <c r="I19" s="27" t="s">
        <v>339</v>
      </c>
    </row>
    <row r="20" spans="2:9" ht="34.5" x14ac:dyDescent="0.35">
      <c r="B20" s="6" t="s">
        <v>146</v>
      </c>
      <c r="C20" s="1" t="s">
        <v>147</v>
      </c>
      <c r="D20" s="7" t="s">
        <v>148</v>
      </c>
      <c r="E20" s="8" t="s">
        <v>132</v>
      </c>
      <c r="F20" s="9" t="s">
        <v>149</v>
      </c>
      <c r="G20" s="1" t="s">
        <v>150</v>
      </c>
      <c r="H20" s="25" t="s">
        <v>74</v>
      </c>
      <c r="I20" s="27" t="s">
        <v>340</v>
      </c>
    </row>
    <row r="21" spans="2:9" ht="23" x14ac:dyDescent="0.35">
      <c r="B21" s="6" t="s">
        <v>146</v>
      </c>
      <c r="C21" s="1" t="s">
        <v>151</v>
      </c>
      <c r="D21" s="7" t="s">
        <v>152</v>
      </c>
      <c r="E21" s="8" t="s">
        <v>132</v>
      </c>
      <c r="F21" s="10" t="s">
        <v>153</v>
      </c>
      <c r="G21" s="1" t="s">
        <v>150</v>
      </c>
      <c r="H21" s="25" t="s">
        <v>74</v>
      </c>
      <c r="I21" s="27" t="s">
        <v>341</v>
      </c>
    </row>
    <row r="23" spans="2:9" ht="42" customHeight="1" x14ac:dyDescent="0.35">
      <c r="B23" s="64" t="s">
        <v>154</v>
      </c>
      <c r="C23" s="64"/>
      <c r="D23" s="64"/>
      <c r="E23" s="64"/>
      <c r="F23" s="64"/>
      <c r="G23" s="64"/>
      <c r="H23" s="64"/>
    </row>
  </sheetData>
  <mergeCells count="3">
    <mergeCell ref="B1:H1"/>
    <mergeCell ref="B2:H2"/>
    <mergeCell ref="B23:H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8"/>
  <sheetViews>
    <sheetView showGridLines="0" zoomScale="112" zoomScaleNormal="100" workbookViewId="0"/>
  </sheetViews>
  <sheetFormatPr defaultColWidth="8.6328125" defaultRowHeight="14.5" x14ac:dyDescent="0.35"/>
  <cols>
    <col min="1" max="1" width="2.54296875" customWidth="1"/>
    <col min="2" max="2" width="5" customWidth="1"/>
    <col min="3" max="4" width="22" customWidth="1"/>
    <col min="5" max="5" width="70" customWidth="1"/>
  </cols>
  <sheetData>
    <row r="1" spans="2:5" ht="30" customHeight="1" x14ac:dyDescent="0.35">
      <c r="B1" s="62" t="s">
        <v>155</v>
      </c>
      <c r="C1" s="62"/>
      <c r="D1" s="62"/>
      <c r="E1" s="62"/>
    </row>
    <row r="2" spans="2:5" ht="18" customHeight="1" x14ac:dyDescent="0.35">
      <c r="B2" s="63" t="s">
        <v>156</v>
      </c>
      <c r="C2" s="63"/>
      <c r="D2" s="63"/>
      <c r="E2" s="63"/>
    </row>
    <row r="3" spans="2:5" ht="15" customHeight="1" x14ac:dyDescent="0.35">
      <c r="B3" s="2" t="s">
        <v>157</v>
      </c>
      <c r="C3" s="2" t="s">
        <v>158</v>
      </c>
      <c r="D3" s="2" t="s">
        <v>159</v>
      </c>
      <c r="E3" s="2" t="s">
        <v>160</v>
      </c>
    </row>
    <row r="4" spans="2:5" ht="34.5" x14ac:dyDescent="0.35">
      <c r="B4" s="11" t="s">
        <v>161</v>
      </c>
      <c r="C4" s="4" t="s">
        <v>162</v>
      </c>
      <c r="D4" s="12" t="s">
        <v>163</v>
      </c>
      <c r="E4" s="1" t="s">
        <v>164</v>
      </c>
    </row>
    <row r="5" spans="2:5" ht="23" x14ac:dyDescent="0.35">
      <c r="B5" s="11" t="s">
        <v>165</v>
      </c>
      <c r="C5" s="4" t="s">
        <v>166</v>
      </c>
      <c r="D5" s="12" t="s">
        <v>167</v>
      </c>
      <c r="E5" s="1" t="s">
        <v>168</v>
      </c>
    </row>
    <row r="6" spans="2:5" ht="23" x14ac:dyDescent="0.35">
      <c r="B6" s="11" t="s">
        <v>169</v>
      </c>
      <c r="C6" s="4" t="s">
        <v>170</v>
      </c>
      <c r="D6" s="13" t="s">
        <v>171</v>
      </c>
      <c r="E6" s="1" t="s">
        <v>172</v>
      </c>
    </row>
    <row r="8" spans="2:5" ht="33.75" customHeight="1" x14ac:dyDescent="0.35">
      <c r="B8" s="65" t="s">
        <v>173</v>
      </c>
      <c r="C8" s="65"/>
      <c r="D8" s="65"/>
      <c r="E8" s="65"/>
    </row>
  </sheetData>
  <mergeCells count="3">
    <mergeCell ref="B1:E1"/>
    <mergeCell ref="B2:E2"/>
    <mergeCell ref="B8:E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6"/>
  <sheetViews>
    <sheetView showGridLines="0" topLeftCell="A13" zoomScaleNormal="100" workbookViewId="0">
      <selection activeCell="C12" sqref="C12:E12"/>
    </sheetView>
  </sheetViews>
  <sheetFormatPr defaultColWidth="8.6328125" defaultRowHeight="14.5" x14ac:dyDescent="0.35"/>
  <cols>
    <col min="1" max="1" width="3.6328125" customWidth="1"/>
    <col min="2" max="2" width="24" customWidth="1"/>
    <col min="3" max="3" width="52" customWidth="1"/>
    <col min="4" max="4" width="26" customWidth="1"/>
    <col min="5" max="5" width="45.453125" bestFit="1" customWidth="1"/>
  </cols>
  <sheetData>
    <row r="1" spans="2:6" ht="30" customHeight="1" x14ac:dyDescent="0.35">
      <c r="B1" s="62" t="s">
        <v>174</v>
      </c>
      <c r="C1" s="62"/>
      <c r="D1" s="62"/>
      <c r="E1" s="62"/>
      <c r="F1" s="62"/>
    </row>
    <row r="2" spans="2:6" ht="18" customHeight="1" x14ac:dyDescent="0.35">
      <c r="B2" s="63" t="s">
        <v>175</v>
      </c>
      <c r="C2" s="63"/>
      <c r="D2" s="63"/>
      <c r="E2" s="63"/>
      <c r="F2" s="63"/>
    </row>
    <row r="3" spans="2:6" ht="39" customHeight="1" x14ac:dyDescent="0.35">
      <c r="B3" s="2" t="s">
        <v>176</v>
      </c>
      <c r="C3" s="2" t="s">
        <v>177</v>
      </c>
      <c r="D3" s="2" t="s">
        <v>178</v>
      </c>
      <c r="E3" s="2" t="s">
        <v>179</v>
      </c>
    </row>
    <row r="4" spans="2:6" ht="15" customHeight="1" x14ac:dyDescent="0.35">
      <c r="B4" s="6" t="s">
        <v>180</v>
      </c>
      <c r="C4" s="1" t="s">
        <v>181</v>
      </c>
      <c r="D4" s="14" t="s">
        <v>182</v>
      </c>
      <c r="E4" s="7">
        <v>3</v>
      </c>
    </row>
    <row r="5" spans="2:6" ht="15" customHeight="1" x14ac:dyDescent="0.35">
      <c r="B5" s="6" t="s">
        <v>183</v>
      </c>
      <c r="C5" s="1" t="s">
        <v>184</v>
      </c>
      <c r="D5" s="14" t="s">
        <v>185</v>
      </c>
      <c r="E5" s="7">
        <v>3</v>
      </c>
    </row>
    <row r="6" spans="2:6" ht="15" customHeight="1" x14ac:dyDescent="0.35">
      <c r="B6" s="6" t="s">
        <v>186</v>
      </c>
      <c r="C6" s="1" t="s">
        <v>187</v>
      </c>
      <c r="D6" s="10" t="s">
        <v>188</v>
      </c>
      <c r="E6" s="7">
        <v>1</v>
      </c>
    </row>
    <row r="7" spans="2:6" ht="15" customHeight="1" x14ac:dyDescent="0.35">
      <c r="B7" s="6" t="s">
        <v>189</v>
      </c>
      <c r="C7" s="1" t="s">
        <v>190</v>
      </c>
      <c r="D7" s="14" t="s">
        <v>191</v>
      </c>
      <c r="E7" s="7">
        <v>2</v>
      </c>
    </row>
    <row r="8" spans="2:6" ht="15" customHeight="1" x14ac:dyDescent="0.35">
      <c r="B8" s="6" t="s">
        <v>192</v>
      </c>
      <c r="C8" s="1" t="s">
        <v>193</v>
      </c>
      <c r="D8" s="14" t="s">
        <v>182</v>
      </c>
      <c r="E8" s="7">
        <v>3</v>
      </c>
    </row>
    <row r="9" spans="2:6" ht="15" customHeight="1" x14ac:dyDescent="0.35">
      <c r="B9" s="6" t="s">
        <v>194</v>
      </c>
      <c r="C9" s="1" t="s">
        <v>195</v>
      </c>
      <c r="D9" s="8" t="s">
        <v>196</v>
      </c>
      <c r="E9" s="7">
        <v>2</v>
      </c>
    </row>
    <row r="10" spans="2:6" ht="15" customHeight="1" x14ac:dyDescent="0.35">
      <c r="B10" s="15" t="s">
        <v>197</v>
      </c>
      <c r="C10" s="16">
        <f>ROUND(AVERAGE(E4:E9),2)</f>
        <v>2.33</v>
      </c>
      <c r="D10" s="67" t="s">
        <v>198</v>
      </c>
      <c r="E10" s="67"/>
    </row>
    <row r="11" spans="2:6" ht="23.25" customHeight="1" x14ac:dyDescent="0.35">
      <c r="B11" s="4" t="s">
        <v>199</v>
      </c>
      <c r="C11" s="16">
        <f>COUNTIF(E4:E9,"&gt;=3")</f>
        <v>3</v>
      </c>
    </row>
    <row r="12" spans="2:6" ht="15" customHeight="1" x14ac:dyDescent="0.35">
      <c r="B12" s="3" t="s">
        <v>200</v>
      </c>
      <c r="C12" s="68" t="str">
        <f>IF(C10&lt;1.6,"EARLY",IF(C10&lt;2.5,"MID",IF(C10&lt;3.5,"LATE-CYCLE","CONTRACTION")))</f>
        <v>MID</v>
      </c>
      <c r="D12" s="68"/>
      <c r="E12" s="68"/>
    </row>
    <row r="13" spans="2:6" ht="42" customHeight="1" x14ac:dyDescent="0.35">
      <c r="B13" s="17" t="s">
        <v>201</v>
      </c>
      <c r="C13" s="69" t="s">
        <v>202</v>
      </c>
      <c r="D13" s="69"/>
      <c r="E13" s="69"/>
    </row>
    <row r="14" spans="2:6" ht="28" customHeight="1" x14ac:dyDescent="0.35">
      <c r="B14" s="4" t="s">
        <v>203</v>
      </c>
      <c r="C14" s="66" t="s">
        <v>204</v>
      </c>
      <c r="D14" s="66"/>
      <c r="E14" s="66"/>
    </row>
    <row r="15" spans="2:6" ht="27.5" customHeight="1" x14ac:dyDescent="0.35">
      <c r="B15" s="4" t="s">
        <v>205</v>
      </c>
      <c r="C15" s="66" t="s">
        <v>206</v>
      </c>
      <c r="D15" s="66"/>
      <c r="E15" s="66"/>
    </row>
    <row r="16" spans="2:6" x14ac:dyDescent="0.35">
      <c r="B16" s="4" t="s">
        <v>207</v>
      </c>
      <c r="C16" s="66" t="s">
        <v>208</v>
      </c>
      <c r="D16" s="66"/>
      <c r="E16" s="66"/>
    </row>
  </sheetData>
  <mergeCells count="8">
    <mergeCell ref="C14:E14"/>
    <mergeCell ref="C15:E15"/>
    <mergeCell ref="C16:E16"/>
    <mergeCell ref="B1:F1"/>
    <mergeCell ref="B2:F2"/>
    <mergeCell ref="D10:E10"/>
    <mergeCell ref="C12:E12"/>
    <mergeCell ref="C13:E1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25"/>
  <sheetViews>
    <sheetView showGridLines="0" zoomScaleNormal="100" workbookViewId="0">
      <pane ySplit="3" topLeftCell="A4" activePane="bottomLeft" state="frozen"/>
      <selection pane="bottomLeft"/>
    </sheetView>
  </sheetViews>
  <sheetFormatPr defaultColWidth="8.6328125" defaultRowHeight="14.5" x14ac:dyDescent="0.35"/>
  <cols>
    <col min="1" max="1" width="3.54296875" customWidth="1"/>
    <col min="2" max="2" width="27.26953125" customWidth="1"/>
    <col min="3" max="3" width="24.36328125" bestFit="1" customWidth="1"/>
    <col min="4" max="4" width="45.453125" customWidth="1"/>
    <col min="5" max="5" width="24.54296875" customWidth="1"/>
    <col min="6" max="6" width="45.453125" customWidth="1"/>
    <col min="7" max="7" width="13.6328125" customWidth="1"/>
  </cols>
  <sheetData>
    <row r="1" spans="2:7" ht="30" customHeight="1" x14ac:dyDescent="0.35">
      <c r="B1" s="62" t="s">
        <v>209</v>
      </c>
      <c r="C1" s="62"/>
      <c r="D1" s="62"/>
      <c r="E1" s="62"/>
      <c r="F1" s="62"/>
    </row>
    <row r="2" spans="2:7" ht="18" customHeight="1" x14ac:dyDescent="0.35">
      <c r="B2" s="63" t="s">
        <v>210</v>
      </c>
      <c r="C2" s="63"/>
      <c r="D2" s="63"/>
      <c r="E2" s="63"/>
      <c r="F2" s="63"/>
    </row>
    <row r="3" spans="2:7" ht="26.25" customHeight="1" x14ac:dyDescent="0.35">
      <c r="B3" s="2" t="s">
        <v>211</v>
      </c>
      <c r="C3" s="31" t="s">
        <v>343</v>
      </c>
      <c r="D3" s="31" t="s">
        <v>344</v>
      </c>
      <c r="E3" s="31" t="s">
        <v>345</v>
      </c>
      <c r="F3" s="31" t="s">
        <v>346</v>
      </c>
      <c r="G3" s="31" t="s">
        <v>203</v>
      </c>
    </row>
    <row r="4" spans="2:7" ht="34.5" x14ac:dyDescent="0.35">
      <c r="B4" s="6" t="s">
        <v>212</v>
      </c>
      <c r="C4" s="32" t="s">
        <v>347</v>
      </c>
      <c r="D4" s="32" t="s">
        <v>348</v>
      </c>
      <c r="E4" s="33" t="s">
        <v>349</v>
      </c>
      <c r="F4" s="34" t="s">
        <v>350</v>
      </c>
      <c r="G4" s="35" t="s">
        <v>213</v>
      </c>
    </row>
    <row r="5" spans="2:7" ht="34.5" x14ac:dyDescent="0.35">
      <c r="B5" s="6" t="s">
        <v>214</v>
      </c>
      <c r="C5" s="32" t="s">
        <v>351</v>
      </c>
      <c r="D5" s="32" t="s">
        <v>352</v>
      </c>
      <c r="E5" s="33" t="s">
        <v>353</v>
      </c>
      <c r="F5" s="34" t="s">
        <v>215</v>
      </c>
      <c r="G5" s="35" t="s">
        <v>213</v>
      </c>
    </row>
    <row r="6" spans="2:7" ht="23" x14ac:dyDescent="0.35">
      <c r="B6" s="6" t="s">
        <v>216</v>
      </c>
      <c r="C6" s="32" t="s">
        <v>354</v>
      </c>
      <c r="D6" s="32" t="s">
        <v>355</v>
      </c>
      <c r="E6" s="33" t="s">
        <v>356</v>
      </c>
      <c r="F6" s="34" t="s">
        <v>357</v>
      </c>
      <c r="G6" s="36" t="s">
        <v>217</v>
      </c>
    </row>
    <row r="7" spans="2:7" ht="34.5" x14ac:dyDescent="0.35">
      <c r="B7" s="6" t="s">
        <v>218</v>
      </c>
      <c r="C7" s="32" t="s">
        <v>358</v>
      </c>
      <c r="D7" s="32" t="s">
        <v>359</v>
      </c>
      <c r="E7" s="33" t="s">
        <v>360</v>
      </c>
      <c r="F7" s="34" t="s">
        <v>219</v>
      </c>
      <c r="G7" s="36" t="s">
        <v>217</v>
      </c>
    </row>
    <row r="8" spans="2:7" ht="23" x14ac:dyDescent="0.35">
      <c r="B8" s="6" t="s">
        <v>220</v>
      </c>
      <c r="C8" s="32" t="s">
        <v>361</v>
      </c>
      <c r="D8" s="32" t="s">
        <v>362</v>
      </c>
      <c r="E8" s="33" t="s">
        <v>363</v>
      </c>
      <c r="F8" s="34" t="s">
        <v>364</v>
      </c>
      <c r="G8" s="35" t="s">
        <v>213</v>
      </c>
    </row>
    <row r="9" spans="2:7" ht="23" x14ac:dyDescent="0.35">
      <c r="B9" s="6" t="s">
        <v>221</v>
      </c>
      <c r="C9" s="32" t="s">
        <v>365</v>
      </c>
      <c r="D9" s="32" t="s">
        <v>366</v>
      </c>
      <c r="E9" s="33" t="s">
        <v>367</v>
      </c>
      <c r="F9" s="34" t="s">
        <v>222</v>
      </c>
      <c r="G9" s="36" t="s">
        <v>217</v>
      </c>
    </row>
    <row r="10" spans="2:7" ht="23" x14ac:dyDescent="0.35">
      <c r="B10" s="6" t="s">
        <v>223</v>
      </c>
      <c r="C10" s="32" t="s">
        <v>368</v>
      </c>
      <c r="D10" s="32" t="s">
        <v>369</v>
      </c>
      <c r="E10" s="33" t="s">
        <v>370</v>
      </c>
      <c r="F10" s="34" t="s">
        <v>371</v>
      </c>
      <c r="G10" s="36" t="s">
        <v>217</v>
      </c>
    </row>
    <row r="11" spans="2:7" ht="23" x14ac:dyDescent="0.35">
      <c r="B11" s="6" t="s">
        <v>224</v>
      </c>
      <c r="C11" s="32" t="s">
        <v>372</v>
      </c>
      <c r="D11" s="32" t="s">
        <v>373</v>
      </c>
      <c r="E11" s="33" t="s">
        <v>374</v>
      </c>
      <c r="F11" s="34" t="s">
        <v>375</v>
      </c>
      <c r="G11" s="36" t="s">
        <v>217</v>
      </c>
    </row>
    <row r="13" spans="2:7" ht="15" customHeight="1" x14ac:dyDescent="0.35">
      <c r="B13" s="60" t="s">
        <v>225</v>
      </c>
      <c r="C13" s="60"/>
      <c r="D13" s="60"/>
      <c r="E13" s="60"/>
      <c r="F13" s="60"/>
      <c r="G13" s="60"/>
    </row>
    <row r="14" spans="2:7" ht="15" customHeight="1" x14ac:dyDescent="0.35">
      <c r="B14" s="2" t="s">
        <v>226</v>
      </c>
      <c r="C14" s="2" t="s">
        <v>227</v>
      </c>
      <c r="D14" s="73" t="s">
        <v>228</v>
      </c>
      <c r="E14" s="73"/>
      <c r="F14" s="73"/>
      <c r="G14" s="73"/>
    </row>
    <row r="15" spans="2:7" ht="14.5" customHeight="1" x14ac:dyDescent="0.35">
      <c r="B15" s="6" t="s">
        <v>229</v>
      </c>
      <c r="C15" s="19" t="s">
        <v>230</v>
      </c>
      <c r="D15" s="70" t="s">
        <v>231</v>
      </c>
      <c r="E15" s="71"/>
      <c r="F15" s="71"/>
      <c r="G15" s="72"/>
    </row>
    <row r="16" spans="2:7" x14ac:dyDescent="0.35">
      <c r="B16" s="6" t="s">
        <v>232</v>
      </c>
      <c r="C16" s="19" t="s">
        <v>230</v>
      </c>
      <c r="D16" s="70" t="s">
        <v>233</v>
      </c>
      <c r="E16" s="71"/>
      <c r="F16" s="71"/>
      <c r="G16" s="72"/>
    </row>
    <row r="17" spans="2:7" x14ac:dyDescent="0.35">
      <c r="B17" s="6" t="s">
        <v>234</v>
      </c>
      <c r="C17" s="19" t="s">
        <v>230</v>
      </c>
      <c r="D17" s="70" t="s">
        <v>235</v>
      </c>
      <c r="E17" s="71"/>
      <c r="F17" s="71"/>
      <c r="G17" s="72"/>
    </row>
    <row r="18" spans="2:7" x14ac:dyDescent="0.35">
      <c r="B18" s="6" t="s">
        <v>236</v>
      </c>
      <c r="C18" s="20" t="s">
        <v>237</v>
      </c>
      <c r="D18" s="70" t="s">
        <v>238</v>
      </c>
      <c r="E18" s="71"/>
      <c r="F18" s="71"/>
      <c r="G18" s="72"/>
    </row>
    <row r="19" spans="2:7" x14ac:dyDescent="0.35">
      <c r="B19" s="6" t="s">
        <v>239</v>
      </c>
      <c r="C19" s="19" t="s">
        <v>240</v>
      </c>
      <c r="D19" s="70" t="s">
        <v>241</v>
      </c>
      <c r="E19" s="71"/>
      <c r="F19" s="71"/>
      <c r="G19" s="72"/>
    </row>
    <row r="20" spans="2:7" x14ac:dyDescent="0.35">
      <c r="B20" s="6" t="s">
        <v>242</v>
      </c>
      <c r="C20" s="21" t="s">
        <v>243</v>
      </c>
      <c r="D20" s="70" t="s">
        <v>244</v>
      </c>
      <c r="E20" s="71"/>
      <c r="F20" s="71"/>
      <c r="G20" s="72"/>
    </row>
    <row r="21" spans="2:7" x14ac:dyDescent="0.35">
      <c r="B21" s="6" t="s">
        <v>245</v>
      </c>
      <c r="C21" s="21" t="s">
        <v>243</v>
      </c>
      <c r="D21" s="70" t="s">
        <v>246</v>
      </c>
      <c r="E21" s="71"/>
      <c r="F21" s="71"/>
      <c r="G21" s="72"/>
    </row>
    <row r="22" spans="2:7" x14ac:dyDescent="0.35">
      <c r="B22" s="6" t="s">
        <v>247</v>
      </c>
      <c r="C22" s="21" t="s">
        <v>248</v>
      </c>
      <c r="D22" s="70" t="s">
        <v>249</v>
      </c>
      <c r="E22" s="71"/>
      <c r="F22" s="71"/>
      <c r="G22" s="72"/>
    </row>
    <row r="23" spans="2:7" x14ac:dyDescent="0.35">
      <c r="B23" s="6" t="s">
        <v>250</v>
      </c>
      <c r="C23" s="21" t="s">
        <v>248</v>
      </c>
      <c r="D23" s="70" t="s">
        <v>251</v>
      </c>
      <c r="E23" s="71"/>
      <c r="F23" s="71"/>
      <c r="G23" s="72"/>
    </row>
    <row r="24" spans="2:7" x14ac:dyDescent="0.35">
      <c r="B24" s="6" t="s">
        <v>252</v>
      </c>
      <c r="C24" s="21" t="s">
        <v>248</v>
      </c>
      <c r="D24" s="70" t="s">
        <v>253</v>
      </c>
      <c r="E24" s="71"/>
      <c r="F24" s="71"/>
      <c r="G24" s="72"/>
    </row>
    <row r="25" spans="2:7" x14ac:dyDescent="0.35">
      <c r="B25" s="6" t="s">
        <v>254</v>
      </c>
      <c r="C25" s="20" t="s">
        <v>255</v>
      </c>
      <c r="D25" s="70" t="s">
        <v>256</v>
      </c>
      <c r="E25" s="71"/>
      <c r="F25" s="71"/>
      <c r="G25" s="72"/>
    </row>
  </sheetData>
  <mergeCells count="15">
    <mergeCell ref="B1:F1"/>
    <mergeCell ref="B2:F2"/>
    <mergeCell ref="B13:G13"/>
    <mergeCell ref="D14:G14"/>
    <mergeCell ref="D15:G15"/>
    <mergeCell ref="D16:G16"/>
    <mergeCell ref="D17:G17"/>
    <mergeCell ref="D18:G18"/>
    <mergeCell ref="D19:G19"/>
    <mergeCell ref="D20:G20"/>
    <mergeCell ref="D21:G21"/>
    <mergeCell ref="D22:G22"/>
    <mergeCell ref="D23:G23"/>
    <mergeCell ref="D24:G24"/>
    <mergeCell ref="D25:G2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25"/>
  <sheetViews>
    <sheetView showGridLines="0" topLeftCell="B1" zoomScale="70" zoomScaleNormal="100" workbookViewId="0">
      <pane ySplit="4" topLeftCell="A5" activePane="bottomLeft" state="frozen"/>
      <selection pane="bottomLeft" activeCell="C27" sqref="C27"/>
    </sheetView>
  </sheetViews>
  <sheetFormatPr defaultColWidth="8.6328125" defaultRowHeight="14.5" x14ac:dyDescent="0.35"/>
  <cols>
    <col min="1" max="1" width="2.54296875" customWidth="1"/>
    <col min="2" max="2" width="26" customWidth="1"/>
    <col min="3" max="3" width="20" customWidth="1"/>
    <col min="4" max="4" width="18" customWidth="1"/>
    <col min="5" max="5" width="17.1796875" bestFit="1" customWidth="1"/>
    <col min="6" max="6" width="26" customWidth="1"/>
    <col min="7" max="7" width="30" customWidth="1"/>
    <col min="8" max="8" width="54.54296875" customWidth="1"/>
  </cols>
  <sheetData>
    <row r="1" spans="2:8" ht="30" customHeight="1" x14ac:dyDescent="0.35">
      <c r="B1" s="62" t="s">
        <v>257</v>
      </c>
      <c r="C1" s="62"/>
      <c r="D1" s="62"/>
      <c r="E1" s="62"/>
      <c r="F1" s="62"/>
      <c r="G1" s="62"/>
    </row>
    <row r="2" spans="2:8" ht="18" customHeight="1" x14ac:dyDescent="0.35">
      <c r="B2" s="63" t="s">
        <v>258</v>
      </c>
      <c r="C2" s="63"/>
      <c r="D2" s="63"/>
      <c r="E2" s="63"/>
      <c r="F2" s="63"/>
      <c r="G2" s="63"/>
    </row>
    <row r="3" spans="2:8" ht="23.25" customHeight="1" x14ac:dyDescent="0.35">
      <c r="B3" s="22" t="s">
        <v>259</v>
      </c>
      <c r="C3" s="87" t="str">
        <f>'Cycle Placement'!C12</f>
        <v>MID</v>
      </c>
      <c r="D3" s="87"/>
      <c r="E3" s="23" t="s">
        <v>260</v>
      </c>
      <c r="F3" s="18">
        <f>COUNTIF(E5:E15,"Overweight")</f>
        <v>3</v>
      </c>
      <c r="G3" s="12">
        <f>COUNTIF(E5:E15,"Underweight")</f>
        <v>3</v>
      </c>
    </row>
    <row r="4" spans="2:8" ht="26.25" customHeight="1" x14ac:dyDescent="0.35">
      <c r="B4" s="2" t="s">
        <v>226</v>
      </c>
      <c r="C4" s="2" t="s">
        <v>261</v>
      </c>
      <c r="D4" s="2" t="s">
        <v>262</v>
      </c>
      <c r="E4" s="2" t="s">
        <v>263</v>
      </c>
      <c r="F4" s="2" t="s">
        <v>264</v>
      </c>
      <c r="G4" s="37" t="s">
        <v>265</v>
      </c>
      <c r="H4" s="31" t="s">
        <v>376</v>
      </c>
    </row>
    <row r="5" spans="2:8" ht="46" x14ac:dyDescent="0.35">
      <c r="B5" s="6" t="s">
        <v>229</v>
      </c>
      <c r="C5" s="1" t="s">
        <v>266</v>
      </c>
      <c r="D5" s="30" t="s">
        <v>230</v>
      </c>
      <c r="E5" s="18" t="s">
        <v>12</v>
      </c>
      <c r="F5" s="1" t="s">
        <v>267</v>
      </c>
      <c r="G5" s="25" t="s">
        <v>268</v>
      </c>
      <c r="H5" s="38" t="s">
        <v>377</v>
      </c>
    </row>
    <row r="6" spans="2:8" ht="34.5" x14ac:dyDescent="0.35">
      <c r="B6" s="6" t="s">
        <v>232</v>
      </c>
      <c r="C6" s="1" t="s">
        <v>266</v>
      </c>
      <c r="D6" s="30" t="s">
        <v>230</v>
      </c>
      <c r="E6" s="18" t="s">
        <v>12</v>
      </c>
      <c r="F6" s="1" t="s">
        <v>269</v>
      </c>
      <c r="G6" s="25" t="s">
        <v>270</v>
      </c>
      <c r="H6" s="38" t="s">
        <v>378</v>
      </c>
    </row>
    <row r="7" spans="2:8" ht="46" x14ac:dyDescent="0.35">
      <c r="B7" s="6" t="s">
        <v>271</v>
      </c>
      <c r="C7" s="1" t="s">
        <v>237</v>
      </c>
      <c r="D7" s="30" t="s">
        <v>230</v>
      </c>
      <c r="E7" s="18" t="s">
        <v>12</v>
      </c>
      <c r="F7" s="1" t="s">
        <v>272</v>
      </c>
      <c r="G7" s="25" t="s">
        <v>273</v>
      </c>
      <c r="H7" s="38" t="s">
        <v>379</v>
      </c>
    </row>
    <row r="8" spans="2:8" ht="34.5" x14ac:dyDescent="0.35">
      <c r="B8" s="6" t="s">
        <v>239</v>
      </c>
      <c r="C8" s="1" t="s">
        <v>274</v>
      </c>
      <c r="D8" s="29" t="s">
        <v>275</v>
      </c>
      <c r="E8" s="13" t="s">
        <v>237</v>
      </c>
      <c r="F8" s="1" t="s">
        <v>276</v>
      </c>
      <c r="G8" s="25" t="s">
        <v>277</v>
      </c>
      <c r="H8" s="38" t="s">
        <v>380</v>
      </c>
    </row>
    <row r="9" spans="2:8" ht="57.5" x14ac:dyDescent="0.35">
      <c r="B9" s="6" t="s">
        <v>236</v>
      </c>
      <c r="C9" s="1" t="s">
        <v>237</v>
      </c>
      <c r="D9" s="29" t="s">
        <v>237</v>
      </c>
      <c r="E9" s="13" t="s">
        <v>237</v>
      </c>
      <c r="F9" s="1" t="s">
        <v>278</v>
      </c>
      <c r="G9" s="25" t="s">
        <v>279</v>
      </c>
      <c r="H9" s="38" t="s">
        <v>381</v>
      </c>
    </row>
    <row r="10" spans="2:8" ht="23" x14ac:dyDescent="0.35">
      <c r="B10" s="6" t="s">
        <v>254</v>
      </c>
      <c r="C10" s="1" t="s">
        <v>266</v>
      </c>
      <c r="D10" s="29" t="s">
        <v>237</v>
      </c>
      <c r="E10" s="13" t="s">
        <v>237</v>
      </c>
      <c r="F10" s="1" t="s">
        <v>280</v>
      </c>
      <c r="G10" s="25" t="s">
        <v>281</v>
      </c>
      <c r="H10" s="38" t="s">
        <v>382</v>
      </c>
    </row>
    <row r="11" spans="2:8" ht="34.5" x14ac:dyDescent="0.35">
      <c r="B11" s="6" t="s">
        <v>242</v>
      </c>
      <c r="C11" s="1" t="s">
        <v>266</v>
      </c>
      <c r="D11" s="29" t="s">
        <v>282</v>
      </c>
      <c r="E11" s="13" t="s">
        <v>237</v>
      </c>
      <c r="F11" s="1" t="s">
        <v>283</v>
      </c>
      <c r="G11" s="25" t="s">
        <v>284</v>
      </c>
      <c r="H11" s="38" t="s">
        <v>383</v>
      </c>
    </row>
    <row r="12" spans="2:8" ht="23" x14ac:dyDescent="0.35">
      <c r="B12" s="6" t="s">
        <v>245</v>
      </c>
      <c r="C12" s="1" t="s">
        <v>285</v>
      </c>
      <c r="D12" s="29" t="s">
        <v>282</v>
      </c>
      <c r="E12" s="13" t="s">
        <v>237</v>
      </c>
      <c r="F12" s="1" t="s">
        <v>286</v>
      </c>
      <c r="G12" s="25" t="s">
        <v>287</v>
      </c>
      <c r="H12" s="38" t="s">
        <v>384</v>
      </c>
    </row>
    <row r="13" spans="2:8" ht="69" x14ac:dyDescent="0.35">
      <c r="B13" s="6" t="s">
        <v>252</v>
      </c>
      <c r="C13" s="1" t="s">
        <v>288</v>
      </c>
      <c r="D13" s="28" t="s">
        <v>248</v>
      </c>
      <c r="E13" s="12" t="s">
        <v>15</v>
      </c>
      <c r="F13" s="1" t="s">
        <v>289</v>
      </c>
      <c r="G13" s="25" t="s">
        <v>290</v>
      </c>
      <c r="H13" s="39" t="s">
        <v>385</v>
      </c>
    </row>
    <row r="14" spans="2:8" ht="46" x14ac:dyDescent="0.35">
      <c r="B14" s="6" t="s">
        <v>247</v>
      </c>
      <c r="C14" s="1" t="s">
        <v>288</v>
      </c>
      <c r="D14" s="28" t="s">
        <v>248</v>
      </c>
      <c r="E14" s="12" t="s">
        <v>15</v>
      </c>
      <c r="F14" s="1" t="s">
        <v>291</v>
      </c>
      <c r="G14" s="25" t="s">
        <v>292</v>
      </c>
      <c r="H14" s="39" t="s">
        <v>386</v>
      </c>
    </row>
    <row r="15" spans="2:8" ht="69" x14ac:dyDescent="0.35">
      <c r="B15" s="6" t="s">
        <v>250</v>
      </c>
      <c r="C15" s="1" t="s">
        <v>293</v>
      </c>
      <c r="D15" s="28" t="s">
        <v>248</v>
      </c>
      <c r="E15" s="12" t="s">
        <v>15</v>
      </c>
      <c r="F15" s="1" t="s">
        <v>294</v>
      </c>
      <c r="G15" s="25" t="s">
        <v>295</v>
      </c>
      <c r="H15" s="39" t="s">
        <v>387</v>
      </c>
    </row>
    <row r="17" spans="2:8" ht="15" customHeight="1" x14ac:dyDescent="0.35">
      <c r="B17" s="60" t="s">
        <v>296</v>
      </c>
      <c r="C17" s="60"/>
      <c r="D17" s="60"/>
      <c r="E17" s="60"/>
      <c r="F17" s="60"/>
      <c r="G17" s="60"/>
    </row>
    <row r="18" spans="2:8" ht="31.5" customHeight="1" x14ac:dyDescent="0.35">
      <c r="B18" s="74" t="s">
        <v>297</v>
      </c>
      <c r="C18" s="74"/>
      <c r="D18" s="74"/>
      <c r="E18" s="74"/>
      <c r="F18" s="74"/>
      <c r="G18" s="74"/>
    </row>
    <row r="19" spans="2:8" ht="31.5" customHeight="1" x14ac:dyDescent="0.35">
      <c r="B19" s="74" t="s">
        <v>298</v>
      </c>
      <c r="C19" s="74"/>
      <c r="D19" s="74"/>
      <c r="E19" s="74"/>
      <c r="F19" s="74"/>
      <c r="G19" s="74"/>
    </row>
    <row r="20" spans="2:8" ht="31.5" customHeight="1" x14ac:dyDescent="0.35">
      <c r="B20" s="74" t="s">
        <v>299</v>
      </c>
      <c r="C20" s="74"/>
      <c r="D20" s="74"/>
      <c r="E20" s="74"/>
      <c r="F20" s="74"/>
      <c r="G20" s="74"/>
    </row>
    <row r="22" spans="2:8" x14ac:dyDescent="0.35">
      <c r="B22" s="75" t="s">
        <v>388</v>
      </c>
      <c r="C22" s="76"/>
      <c r="D22" s="76"/>
      <c r="E22" s="76"/>
      <c r="F22" s="76"/>
      <c r="G22" s="76"/>
      <c r="H22" s="77"/>
    </row>
    <row r="23" spans="2:8" ht="120" customHeight="1" x14ac:dyDescent="0.35">
      <c r="B23" s="78" t="s">
        <v>389</v>
      </c>
      <c r="C23" s="79"/>
      <c r="D23" s="79"/>
      <c r="E23" s="79"/>
      <c r="F23" s="79"/>
      <c r="G23" s="79"/>
      <c r="H23" s="80"/>
    </row>
    <row r="24" spans="2:8" x14ac:dyDescent="0.35">
      <c r="B24" s="81"/>
      <c r="C24" s="82"/>
      <c r="D24" s="82"/>
      <c r="E24" s="82"/>
      <c r="F24" s="82"/>
      <c r="G24" s="82"/>
      <c r="H24" s="83"/>
    </row>
    <row r="25" spans="2:8" x14ac:dyDescent="0.35">
      <c r="B25" s="84"/>
      <c r="C25" s="85"/>
      <c r="D25" s="85"/>
      <c r="E25" s="85"/>
      <c r="F25" s="85"/>
      <c r="G25" s="85"/>
      <c r="H25" s="86"/>
    </row>
  </sheetData>
  <mergeCells count="9">
    <mergeCell ref="B19:G19"/>
    <mergeCell ref="B20:G20"/>
    <mergeCell ref="B22:H22"/>
    <mergeCell ref="B23:H25"/>
    <mergeCell ref="B1:G1"/>
    <mergeCell ref="B2:G2"/>
    <mergeCell ref="C3:D3"/>
    <mergeCell ref="B17:G17"/>
    <mergeCell ref="B18:G1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14"/>
  <sheetViews>
    <sheetView showGridLines="0" zoomScaleNormal="100" workbookViewId="0">
      <selection activeCell="E6" sqref="E6"/>
    </sheetView>
  </sheetViews>
  <sheetFormatPr defaultColWidth="8.6328125" defaultRowHeight="14.5" x14ac:dyDescent="0.35"/>
  <cols>
    <col min="1" max="1" width="4.26953125" customWidth="1"/>
    <col min="2" max="2" width="13.90625" bestFit="1" customWidth="1"/>
    <col min="3" max="3" width="46" customWidth="1"/>
    <col min="4" max="4" width="52" customWidth="1"/>
  </cols>
  <sheetData>
    <row r="1" spans="2:4" ht="30" customHeight="1" x14ac:dyDescent="0.35">
      <c r="B1" s="89" t="s">
        <v>300</v>
      </c>
      <c r="C1" s="89"/>
      <c r="D1" s="89"/>
    </row>
    <row r="2" spans="2:4" ht="18" customHeight="1" x14ac:dyDescent="0.35">
      <c r="B2" s="90" t="s">
        <v>301</v>
      </c>
      <c r="C2" s="90"/>
      <c r="D2" s="90"/>
    </row>
    <row r="3" spans="2:4" ht="15" customHeight="1" x14ac:dyDescent="0.35">
      <c r="B3" s="91" t="s">
        <v>302</v>
      </c>
      <c r="C3" s="91"/>
      <c r="D3" s="91"/>
    </row>
    <row r="4" spans="2:4" ht="15" customHeight="1" x14ac:dyDescent="0.35">
      <c r="B4" s="40" t="s">
        <v>157</v>
      </c>
      <c r="C4" s="40" t="s">
        <v>303</v>
      </c>
      <c r="D4" s="40" t="s">
        <v>304</v>
      </c>
    </row>
    <row r="5" spans="2:4" ht="48" customHeight="1" x14ac:dyDescent="0.35">
      <c r="B5" s="41" t="s">
        <v>161</v>
      </c>
      <c r="C5" s="42" t="s">
        <v>305</v>
      </c>
      <c r="D5" s="43" t="s">
        <v>306</v>
      </c>
    </row>
    <row r="6" spans="2:4" ht="48" customHeight="1" x14ac:dyDescent="0.35">
      <c r="B6" s="41" t="s">
        <v>165</v>
      </c>
      <c r="C6" s="42" t="s">
        <v>307</v>
      </c>
      <c r="D6" s="43" t="s">
        <v>308</v>
      </c>
    </row>
    <row r="7" spans="2:4" ht="48" customHeight="1" x14ac:dyDescent="0.35">
      <c r="B7" s="41" t="s">
        <v>169</v>
      </c>
      <c r="C7" s="42" t="s">
        <v>309</v>
      </c>
      <c r="D7" s="43" t="s">
        <v>310</v>
      </c>
    </row>
    <row r="8" spans="2:4" ht="48" customHeight="1" x14ac:dyDescent="0.35">
      <c r="B8" s="41" t="s">
        <v>311</v>
      </c>
      <c r="C8" s="42" t="s">
        <v>312</v>
      </c>
      <c r="D8" s="43" t="s">
        <v>313</v>
      </c>
    </row>
    <row r="9" spans="2:4" ht="48" customHeight="1" x14ac:dyDescent="0.35">
      <c r="B9" s="41" t="s">
        <v>314</v>
      </c>
      <c r="C9" s="42" t="s">
        <v>315</v>
      </c>
      <c r="D9" s="43" t="s">
        <v>316</v>
      </c>
    </row>
    <row r="11" spans="2:4" ht="15" customHeight="1" x14ac:dyDescent="0.35">
      <c r="B11" s="60" t="s">
        <v>317</v>
      </c>
      <c r="C11" s="60"/>
      <c r="D11" s="60"/>
    </row>
    <row r="12" spans="2:4" ht="30" customHeight="1" x14ac:dyDescent="0.35">
      <c r="B12" s="4" t="s">
        <v>318</v>
      </c>
      <c r="C12" s="88" t="s">
        <v>319</v>
      </c>
      <c r="D12" s="88"/>
    </row>
    <row r="13" spans="2:4" ht="31.5" customHeight="1" x14ac:dyDescent="0.35">
      <c r="B13" s="4" t="s">
        <v>320</v>
      </c>
      <c r="C13" s="88" t="s">
        <v>321</v>
      </c>
      <c r="D13" s="88"/>
    </row>
    <row r="14" spans="2:4" ht="31" customHeight="1" x14ac:dyDescent="0.35">
      <c r="B14" s="4" t="s">
        <v>322</v>
      </c>
      <c r="C14" s="88" t="s">
        <v>323</v>
      </c>
      <c r="D14" s="88"/>
    </row>
  </sheetData>
  <mergeCells count="7">
    <mergeCell ref="C13:D13"/>
    <mergeCell ref="C14:D14"/>
    <mergeCell ref="B1:D1"/>
    <mergeCell ref="B2:D2"/>
    <mergeCell ref="B3:D3"/>
    <mergeCell ref="B11:D11"/>
    <mergeCell ref="C12:D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6F10-0AC0-4306-904B-C8D46519AE82}">
  <dimension ref="B1:C33"/>
  <sheetViews>
    <sheetView tabSelected="1" topLeftCell="A5" zoomScale="75" workbookViewId="0">
      <selection activeCell="F10" sqref="F10"/>
    </sheetView>
  </sheetViews>
  <sheetFormatPr defaultRowHeight="14.5" x14ac:dyDescent="0.35"/>
  <cols>
    <col min="1" max="1" width="3.26953125" customWidth="1"/>
    <col min="2" max="2" width="31.81640625" customWidth="1"/>
    <col min="3" max="3" width="116.36328125" customWidth="1"/>
  </cols>
  <sheetData>
    <row r="1" spans="2:3" ht="20" x14ac:dyDescent="0.35">
      <c r="B1" s="53" t="s">
        <v>452</v>
      </c>
      <c r="C1" s="53"/>
    </row>
    <row r="2" spans="2:3" x14ac:dyDescent="0.35">
      <c r="B2" s="54" t="s">
        <v>453</v>
      </c>
      <c r="C2" s="54"/>
    </row>
    <row r="3" spans="2:3" ht="15.5" x14ac:dyDescent="0.35">
      <c r="B3" s="55" t="s">
        <v>454</v>
      </c>
      <c r="C3" s="55"/>
    </row>
    <row r="4" spans="2:3" x14ac:dyDescent="0.35">
      <c r="B4" s="44" t="s">
        <v>455</v>
      </c>
      <c r="C4" s="45" t="s">
        <v>456</v>
      </c>
    </row>
    <row r="5" spans="2:3" ht="34.5" x14ac:dyDescent="0.35">
      <c r="B5" s="44" t="s">
        <v>457</v>
      </c>
      <c r="C5" s="45" t="s">
        <v>458</v>
      </c>
    </row>
    <row r="6" spans="2:3" ht="214.5" customHeight="1" x14ac:dyDescent="0.35">
      <c r="B6" s="44" t="s">
        <v>459</v>
      </c>
      <c r="C6" s="45" t="s">
        <v>490</v>
      </c>
    </row>
    <row r="7" spans="2:3" ht="24" customHeight="1" x14ac:dyDescent="0.35">
      <c r="B7" s="44" t="s">
        <v>461</v>
      </c>
      <c r="C7" s="45" t="s">
        <v>462</v>
      </c>
    </row>
    <row r="8" spans="2:3" ht="57.5" x14ac:dyDescent="0.35">
      <c r="B8" s="44" t="s">
        <v>463</v>
      </c>
      <c r="C8" s="45" t="s">
        <v>464</v>
      </c>
    </row>
    <row r="9" spans="2:3" ht="87" customHeight="1" x14ac:dyDescent="0.35">
      <c r="B9" s="44" t="s">
        <v>465</v>
      </c>
      <c r="C9" s="45" t="s">
        <v>466</v>
      </c>
    </row>
    <row r="10" spans="2:3" ht="34.5" x14ac:dyDescent="0.35">
      <c r="B10" s="46" t="s">
        <v>467</v>
      </c>
      <c r="C10" s="47" t="s">
        <v>468</v>
      </c>
    </row>
    <row r="11" spans="2:3" ht="39" customHeight="1" x14ac:dyDescent="0.35">
      <c r="B11" s="44" t="s">
        <v>469</v>
      </c>
      <c r="C11" s="45" t="s">
        <v>470</v>
      </c>
    </row>
    <row r="12" spans="2:3" ht="46" x14ac:dyDescent="0.35">
      <c r="B12" s="44" t="s">
        <v>471</v>
      </c>
      <c r="C12" s="45" t="s">
        <v>472</v>
      </c>
    </row>
    <row r="13" spans="2:3" ht="23" x14ac:dyDescent="0.35">
      <c r="B13" s="44" t="s">
        <v>203</v>
      </c>
      <c r="C13" s="45" t="s">
        <v>473</v>
      </c>
    </row>
    <row r="14" spans="2:3" ht="23" x14ac:dyDescent="0.35">
      <c r="B14" s="44" t="s">
        <v>474</v>
      </c>
      <c r="C14" s="45" t="s">
        <v>475</v>
      </c>
    </row>
    <row r="15" spans="2:3" x14ac:dyDescent="0.35">
      <c r="B15" s="44"/>
      <c r="C15" s="45"/>
    </row>
    <row r="16" spans="2:3" ht="23" x14ac:dyDescent="0.35">
      <c r="B16" s="44" t="s">
        <v>476</v>
      </c>
      <c r="C16" s="48" t="str">
        <f>"Formula regime: "&amp;'Cycle Placement'!C12&amp;"  (avg score "&amp;'Cycle Placement'!C10&amp;") | Analyst overlay: LATE-CYCLE, "&amp;'Cycle Placement'!C14</f>
        <v>Formula regime: MID  (avg score 2.33) | Analyst overlay: LATE-CYCLE, MEDIUM — 4 signals lean late, but cheap valuations &amp; low VIX genuinely dissent (look mid-cycle). This is an externally-imposed late cycle: a supply shock ageing it prematurely, not domestic overheating.</v>
      </c>
    </row>
    <row r="17" spans="2:3" ht="23" x14ac:dyDescent="0.35">
      <c r="B17" s="49" t="s">
        <v>477</v>
      </c>
      <c r="C17" s="50" t="s">
        <v>478</v>
      </c>
    </row>
    <row r="18" spans="2:3" ht="15" thickBot="1" x14ac:dyDescent="0.4"/>
    <row r="19" spans="2:3" ht="16" thickTop="1" x14ac:dyDescent="0.35">
      <c r="B19" s="56" t="s">
        <v>479</v>
      </c>
      <c r="C19" s="56"/>
    </row>
    <row r="20" spans="2:3" x14ac:dyDescent="0.35">
      <c r="B20" s="51" t="s">
        <v>455</v>
      </c>
      <c r="C20" s="52" t="s">
        <v>480</v>
      </c>
    </row>
    <row r="21" spans="2:3" ht="34.5" x14ac:dyDescent="0.35">
      <c r="B21" s="44" t="s">
        <v>457</v>
      </c>
      <c r="C21" s="45" t="s">
        <v>481</v>
      </c>
    </row>
    <row r="22" spans="2:3" ht="34.5" x14ac:dyDescent="0.35">
      <c r="B22" s="44" t="s">
        <v>459</v>
      </c>
      <c r="C22" s="45" t="s">
        <v>460</v>
      </c>
    </row>
    <row r="23" spans="2:3" ht="23" x14ac:dyDescent="0.35">
      <c r="B23" s="44" t="s">
        <v>461</v>
      </c>
      <c r="C23" s="45" t="s">
        <v>482</v>
      </c>
    </row>
    <row r="24" spans="2:3" ht="57.5" x14ac:dyDescent="0.35">
      <c r="B24" s="44" t="s">
        <v>463</v>
      </c>
      <c r="C24" s="45" t="s">
        <v>483</v>
      </c>
    </row>
    <row r="25" spans="2:3" ht="57.5" x14ac:dyDescent="0.35">
      <c r="B25" s="44" t="s">
        <v>465</v>
      </c>
      <c r="C25" s="45" t="s">
        <v>484</v>
      </c>
    </row>
    <row r="26" spans="2:3" ht="23" x14ac:dyDescent="0.35">
      <c r="B26" s="46" t="s">
        <v>467</v>
      </c>
      <c r="C26" s="47" t="s">
        <v>485</v>
      </c>
    </row>
    <row r="27" spans="2:3" ht="34.5" x14ac:dyDescent="0.35">
      <c r="B27" s="44" t="s">
        <v>469</v>
      </c>
      <c r="C27" s="45" t="s">
        <v>486</v>
      </c>
    </row>
    <row r="28" spans="2:3" ht="57.5" x14ac:dyDescent="0.35">
      <c r="B28" s="44" t="s">
        <v>471</v>
      </c>
      <c r="C28" s="45" t="s">
        <v>487</v>
      </c>
    </row>
    <row r="29" spans="2:3" ht="34.5" x14ac:dyDescent="0.35">
      <c r="B29" s="44" t="s">
        <v>203</v>
      </c>
      <c r="C29" s="45" t="s">
        <v>488</v>
      </c>
    </row>
    <row r="30" spans="2:3" ht="23" x14ac:dyDescent="0.35">
      <c r="B30" s="44" t="s">
        <v>474</v>
      </c>
      <c r="C30" s="45" t="s">
        <v>475</v>
      </c>
    </row>
    <row r="31" spans="2:3" x14ac:dyDescent="0.35">
      <c r="B31" s="44"/>
      <c r="C31" s="45"/>
    </row>
    <row r="32" spans="2:3" ht="23" x14ac:dyDescent="0.35">
      <c r="B32" s="44" t="s">
        <v>476</v>
      </c>
      <c r="C32" s="48" t="str">
        <f>"Formula regime: "&amp;'Cycle Placement'!C12&amp;"  (avg score "&amp;'Cycle Placement'!C10&amp;") | Analyst overlay: LATE-CYCLE, "&amp;'Cycle Placement'!C14</f>
        <v>Formula regime: MID  (avg score 2.33) | Analyst overlay: LATE-CYCLE, MEDIUM — 4 signals lean late, but cheap valuations &amp; low VIX genuinely dissent (look mid-cycle). This is an externally-imposed late cycle: a supply shock ageing it prematurely, not domestic overheating.</v>
      </c>
    </row>
    <row r="33" spans="2:3" ht="23" x14ac:dyDescent="0.35">
      <c r="B33" s="49" t="s">
        <v>477</v>
      </c>
      <c r="C33" s="50" t="s">
        <v>489</v>
      </c>
    </row>
  </sheetData>
  <mergeCells count="4">
    <mergeCell ref="B1:C1"/>
    <mergeCell ref="B2:C2"/>
    <mergeCell ref="B3:C3"/>
    <mergeCell ref="B19:C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3C736-D46B-4CE0-B97E-50450EB4E713}">
  <dimension ref="B2:B74"/>
  <sheetViews>
    <sheetView workbookViewId="0">
      <selection activeCell="B110" sqref="B110"/>
    </sheetView>
  </sheetViews>
  <sheetFormatPr defaultRowHeight="14.5" x14ac:dyDescent="0.35"/>
  <cols>
    <col min="1" max="1" width="2.7265625" customWidth="1"/>
    <col min="2" max="2" width="133.81640625" bestFit="1" customWidth="1"/>
  </cols>
  <sheetData>
    <row r="2" spans="2:2" x14ac:dyDescent="0.35">
      <c r="B2" t="s">
        <v>390</v>
      </c>
    </row>
    <row r="4" spans="2:2" x14ac:dyDescent="0.35">
      <c r="B4" t="s">
        <v>391</v>
      </c>
    </row>
    <row r="5" spans="2:2" x14ac:dyDescent="0.35">
      <c r="B5" t="s">
        <v>392</v>
      </c>
    </row>
    <row r="6" spans="2:2" x14ac:dyDescent="0.35">
      <c r="B6" t="s">
        <v>393</v>
      </c>
    </row>
    <row r="7" spans="2:2" x14ac:dyDescent="0.35">
      <c r="B7" t="s">
        <v>394</v>
      </c>
    </row>
    <row r="8" spans="2:2" x14ac:dyDescent="0.35">
      <c r="B8" t="s">
        <v>395</v>
      </c>
    </row>
    <row r="9" spans="2:2" x14ac:dyDescent="0.35">
      <c r="B9" t="s">
        <v>396</v>
      </c>
    </row>
    <row r="11" spans="2:2" x14ac:dyDescent="0.35">
      <c r="B11" t="s">
        <v>397</v>
      </c>
    </row>
    <row r="12" spans="2:2" x14ac:dyDescent="0.35">
      <c r="B12" t="s">
        <v>398</v>
      </c>
    </row>
    <row r="13" spans="2:2" x14ac:dyDescent="0.35">
      <c r="B13" t="s">
        <v>399</v>
      </c>
    </row>
    <row r="14" spans="2:2" x14ac:dyDescent="0.35">
      <c r="B14" t="s">
        <v>400</v>
      </c>
    </row>
    <row r="15" spans="2:2" x14ac:dyDescent="0.35">
      <c r="B15" t="s">
        <v>401</v>
      </c>
    </row>
    <row r="16" spans="2:2" x14ac:dyDescent="0.35">
      <c r="B16" t="s">
        <v>402</v>
      </c>
    </row>
    <row r="17" spans="2:2" x14ac:dyDescent="0.35">
      <c r="B17" t="s">
        <v>403</v>
      </c>
    </row>
    <row r="18" spans="2:2" x14ac:dyDescent="0.35">
      <c r="B18" t="s">
        <v>404</v>
      </c>
    </row>
    <row r="20" spans="2:2" x14ac:dyDescent="0.35">
      <c r="B20" t="s">
        <v>405</v>
      </c>
    </row>
    <row r="22" spans="2:2" x14ac:dyDescent="0.35">
      <c r="B22" t="s">
        <v>406</v>
      </c>
    </row>
    <row r="23" spans="2:2" x14ac:dyDescent="0.35">
      <c r="B23" t="s">
        <v>407</v>
      </c>
    </row>
    <row r="24" spans="2:2" x14ac:dyDescent="0.35">
      <c r="B24" t="s">
        <v>408</v>
      </c>
    </row>
    <row r="25" spans="2:2" x14ac:dyDescent="0.35">
      <c r="B25" t="s">
        <v>409</v>
      </c>
    </row>
    <row r="26" spans="2:2" x14ac:dyDescent="0.35">
      <c r="B26" t="s">
        <v>410</v>
      </c>
    </row>
    <row r="27" spans="2:2" x14ac:dyDescent="0.35">
      <c r="B27" t="s">
        <v>411</v>
      </c>
    </row>
    <row r="28" spans="2:2" x14ac:dyDescent="0.35">
      <c r="B28" t="s">
        <v>412</v>
      </c>
    </row>
    <row r="30" spans="2:2" x14ac:dyDescent="0.35">
      <c r="B30" t="s">
        <v>413</v>
      </c>
    </row>
    <row r="31" spans="2:2" x14ac:dyDescent="0.35">
      <c r="B31" t="s">
        <v>414</v>
      </c>
    </row>
    <row r="32" spans="2:2" x14ac:dyDescent="0.35">
      <c r="B32" t="s">
        <v>415</v>
      </c>
    </row>
    <row r="33" spans="2:2" x14ac:dyDescent="0.35">
      <c r="B33" t="s">
        <v>416</v>
      </c>
    </row>
    <row r="34" spans="2:2" x14ac:dyDescent="0.35">
      <c r="B34" t="s">
        <v>417</v>
      </c>
    </row>
    <row r="35" spans="2:2" x14ac:dyDescent="0.35">
      <c r="B35" t="s">
        <v>418</v>
      </c>
    </row>
    <row r="36" spans="2:2" x14ac:dyDescent="0.35">
      <c r="B36" t="s">
        <v>419</v>
      </c>
    </row>
    <row r="38" spans="2:2" x14ac:dyDescent="0.35">
      <c r="B38" t="s">
        <v>420</v>
      </c>
    </row>
    <row r="39" spans="2:2" x14ac:dyDescent="0.35">
      <c r="B39" t="s">
        <v>421</v>
      </c>
    </row>
    <row r="40" spans="2:2" x14ac:dyDescent="0.35">
      <c r="B40" t="s">
        <v>422</v>
      </c>
    </row>
    <row r="41" spans="2:2" x14ac:dyDescent="0.35">
      <c r="B41" t="s">
        <v>423</v>
      </c>
    </row>
    <row r="42" spans="2:2" x14ac:dyDescent="0.35">
      <c r="B42" t="s">
        <v>424</v>
      </c>
    </row>
    <row r="43" spans="2:2" x14ac:dyDescent="0.35">
      <c r="B43" t="s">
        <v>425</v>
      </c>
    </row>
    <row r="44" spans="2:2" x14ac:dyDescent="0.35">
      <c r="B44" t="s">
        <v>426</v>
      </c>
    </row>
    <row r="46" spans="2:2" x14ac:dyDescent="0.35">
      <c r="B46" t="s">
        <v>427</v>
      </c>
    </row>
    <row r="47" spans="2:2" x14ac:dyDescent="0.35">
      <c r="B47" t="s">
        <v>428</v>
      </c>
    </row>
    <row r="48" spans="2:2" x14ac:dyDescent="0.35">
      <c r="B48" t="s">
        <v>429</v>
      </c>
    </row>
    <row r="50" spans="2:2" x14ac:dyDescent="0.35">
      <c r="B50" t="s">
        <v>430</v>
      </c>
    </row>
    <row r="51" spans="2:2" x14ac:dyDescent="0.35">
      <c r="B51" t="s">
        <v>431</v>
      </c>
    </row>
    <row r="52" spans="2:2" x14ac:dyDescent="0.35">
      <c r="B52" t="s">
        <v>432</v>
      </c>
    </row>
    <row r="53" spans="2:2" x14ac:dyDescent="0.35">
      <c r="B53" t="s">
        <v>433</v>
      </c>
    </row>
    <row r="54" spans="2:2" x14ac:dyDescent="0.35">
      <c r="B54" t="s">
        <v>434</v>
      </c>
    </row>
    <row r="55" spans="2:2" x14ac:dyDescent="0.35">
      <c r="B55" t="s">
        <v>435</v>
      </c>
    </row>
    <row r="56" spans="2:2" x14ac:dyDescent="0.35">
      <c r="B56" t="s">
        <v>436</v>
      </c>
    </row>
    <row r="57" spans="2:2" x14ac:dyDescent="0.35">
      <c r="B57" t="s">
        <v>437</v>
      </c>
    </row>
    <row r="58" spans="2:2" x14ac:dyDescent="0.35">
      <c r="B58" t="s">
        <v>438</v>
      </c>
    </row>
    <row r="59" spans="2:2" x14ac:dyDescent="0.35">
      <c r="B59" t="s">
        <v>439</v>
      </c>
    </row>
    <row r="60" spans="2:2" x14ac:dyDescent="0.35">
      <c r="B60" t="s">
        <v>440</v>
      </c>
    </row>
    <row r="61" spans="2:2" x14ac:dyDescent="0.35">
      <c r="B61" t="s">
        <v>441</v>
      </c>
    </row>
    <row r="62" spans="2:2" x14ac:dyDescent="0.35">
      <c r="B62" t="s">
        <v>442</v>
      </c>
    </row>
    <row r="64" spans="2:2" x14ac:dyDescent="0.35">
      <c r="B64" t="s">
        <v>443</v>
      </c>
    </row>
    <row r="65" spans="2:2" x14ac:dyDescent="0.35">
      <c r="B65" t="s">
        <v>444</v>
      </c>
    </row>
    <row r="67" spans="2:2" x14ac:dyDescent="0.35">
      <c r="B67" t="s">
        <v>445</v>
      </c>
    </row>
    <row r="68" spans="2:2" x14ac:dyDescent="0.35">
      <c r="B68" t="s">
        <v>446</v>
      </c>
    </row>
    <row r="69" spans="2:2" x14ac:dyDescent="0.35">
      <c r="B69" t="s">
        <v>447</v>
      </c>
    </row>
    <row r="70" spans="2:2" x14ac:dyDescent="0.35">
      <c r="B70" t="s">
        <v>448</v>
      </c>
    </row>
    <row r="71" spans="2:2" x14ac:dyDescent="0.35">
      <c r="B71" t="s">
        <v>449</v>
      </c>
    </row>
    <row r="72" spans="2:2" x14ac:dyDescent="0.35">
      <c r="B72" t="s">
        <v>450</v>
      </c>
    </row>
    <row r="74" spans="2:2" x14ac:dyDescent="0.35">
      <c r="B74" t="s">
        <v>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Indicator Dashboard</vt:lpstr>
      <vt:lpstr>Global Overlay</vt:lpstr>
      <vt:lpstr>Cycle Placement</vt:lpstr>
      <vt:lpstr>Linkage Map</vt:lpstr>
      <vt:lpstr>Positioning</vt:lpstr>
      <vt:lpstr>Triggers &amp; Caveats</vt:lpstr>
      <vt:lpstr>Stock Macro Lens</vt:lpstr>
      <vt:lpstr>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fynro 1</cp:lastModifiedBy>
  <cp:revision>0</cp:revision>
  <dcterms:created xsi:type="dcterms:W3CDTF">2026-07-17T07:42:25Z</dcterms:created>
  <dcterms:modified xsi:type="dcterms:W3CDTF">2026-07-20T09:38:43Z</dcterms:modified>
  <dc:language>en-US</dc:language>
</cp:coreProperties>
</file>