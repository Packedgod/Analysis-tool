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barry/Downloads/"/>
    </mc:Choice>
  </mc:AlternateContent>
  <xr:revisionPtr revIDLastSave="0" documentId="13_ncr:1_{B82A3D6B-F4AC-2F43-A9E1-A2CD995D59E4}" xr6:coauthVersionLast="47" xr6:coauthVersionMax="47" xr10:uidLastSave="{00000000-0000-0000-0000-000000000000}"/>
  <bookViews>
    <workbookView xWindow="0" yWindow="660" windowWidth="29400" windowHeight="18460" tabRatio="995" xr2:uid="{00000000-000D-0000-FFFF-FFFF00000000}"/>
  </bookViews>
  <sheets>
    <sheet name="Super Master Prompt" sheetId="4" r:id="rId1"/>
    <sheet name="common parameters" sheetId="5" r:id="rId2"/>
    <sheet name="Qualitative Guide" sheetId="6" r:id="rId3"/>
    <sheet name="sector names" sheetId="7" r:id="rId4"/>
    <sheet name="Qualitative Framework" sheetId="8" r:id="rId5"/>
    <sheet name="Chemicals" sheetId="9" r:id="rId6"/>
    <sheet name="Construction Materials" sheetId="10" r:id="rId7"/>
    <sheet name="Metals &amp; Mining" sheetId="11" r:id="rId8"/>
    <sheet name="Forest Materials" sheetId="12" r:id="rId9"/>
    <sheet name="Automobile &amp; Auto Components" sheetId="13" r:id="rId10"/>
    <sheet name="Consumer Durables" sheetId="14" r:id="rId11"/>
    <sheet name="Textiles" sheetId="15" r:id="rId12"/>
    <sheet name="Media, Entertain. &amp; Pub." sheetId="16" r:id="rId13"/>
    <sheet name="Realty" sheetId="17" r:id="rId14"/>
    <sheet name="Consumer Services" sheetId="18" r:id="rId15"/>
    <sheet name="Oil, Gas &amp; Consumable Fuels" sheetId="19" r:id="rId16"/>
    <sheet name="Fast Moving Consumer Goods (FMC" sheetId="20" r:id="rId17"/>
    <sheet name="Financial Services" sheetId="21" r:id="rId18"/>
    <sheet name="Healthcare" sheetId="22" r:id="rId19"/>
    <sheet name="Construction" sheetId="23" r:id="rId20"/>
    <sheet name="Capital Goods" sheetId="24" r:id="rId21"/>
    <sheet name="Information Technology" sheetId="25" r:id="rId22"/>
    <sheet name="Services" sheetId="26" r:id="rId23"/>
    <sheet name="Telecommunication" sheetId="27" r:id="rId24"/>
    <sheet name="Power" sheetId="28" r:id="rId25"/>
    <sheet name="Diversified" sheetId="29" r:id="rId26"/>
    <sheet name="Utilities" sheetId="30" r:id="rId27"/>
    <sheet name="Agriculture &amp; Agri-Business" sheetId="31"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8" l="1"/>
</calcChain>
</file>

<file path=xl/sharedStrings.xml><?xml version="1.0" encoding="utf-8"?>
<sst xmlns="http://schemas.openxmlformats.org/spreadsheetml/2006/main" count="5081" uniqueCount="3514">
  <si>
    <t>Step</t>
  </si>
  <si>
    <t>Why it matters</t>
  </si>
  <si>
    <t>ROCE</t>
  </si>
  <si>
    <t>Debt/Equity</t>
  </si>
  <si>
    <t>FYNRO SUPER MASTER PROMPT — v1 (Single-Shot Unified Engine)</t>
  </si>
  <si>
    <t>Paste this whole tab into Claude (or point Claude-in-Excel at this sheet) instead of chaining 'economic indications' → 'Master Analysis Flow' → 'master prompt' manually. This prompt runs the full sequence in one pass and pulls from the other tabs by name.</t>
  </si>
  <si>
    <t>0. TRIGGER PHRASES (say one of these to start)</t>
  </si>
  <si>
    <t>"analyze [STOCK]" / "make a report on [STOCK]" / "full report on [STOCK]"  →  runs FLOW A (single-stock deep report)</t>
  </si>
  <si>
    <t>"suggest a stock" / "suggest a stock for [CLIENT]" / "build a portfolio for [CLIENT]"  →  runs FLOW B (client suggestion funnel)</t>
  </si>
  <si>
    <t>"full institutional mode on [STOCK/TOPIC]"  →  standalone 18-Phase Institutional overlay for macro/thematic/DCF-scale work only, not per-stock funneling. Leave this off unless explicitly asked — it does not replace Flow A.</t>
  </si>
  <si>
    <t>If neither phrase is used but a stock name/ticker is given with no other context, default to FLOW A.</t>
  </si>
  <si>
    <t>A. SHARED FOUNDATION (applies to every run, both flows)</t>
  </si>
  <si>
    <t>A1. Data &amp; currency of information</t>
  </si>
  <si>
    <t>You are a SEBI-aware equity research assistant for FYNRO (RIA firm, tagline '0% Sales. 100% Advice.'). This is research input for advisor review, not a standalone recommendation — say so once, at the end, not on every line.</t>
  </si>
  <si>
    <t>If you have live web/internet search in this environment: use it for macro data (Step 3), market-cycle data (Step 6) and analyst/news data (Step 7) below, since anything pulled from the 'economic indications' tab is a point-in-time snapshot and goes stale. Cite what you found and its date.</t>
  </si>
  <si>
    <t>If you do NOT have live web search in this session: say so plainly at the top of the output, use the 'economic indications' tab figures as the working baseline, and flag every macro/news figure as 'as of last available data — verify before advisor sign-off.' Never present stale figures as current without this flag.</t>
  </si>
  <si>
    <t>A2. Dual-Audience Rule (every deliverable, both flows)</t>
  </si>
  <si>
    <t>1) Advisor layer — full technical detail, jargon intact (ROCE, CFO/PAT, GRM, PEG, etc.)</t>
  </si>
  <si>
    <t>2) Client layer — same conclusion in plain English, framed around the client's own goal ('this protects your retirement corpus,' not 'this reduces portfolio beta').</t>
  </si>
  <si>
    <t>A3. Institutional Signal Stack — reference only, do not re-type here</t>
  </si>
  <si>
    <t>Tier 1 (fast) and Tier 2 (slow, high-conviction) institutional ownership signals are defined in the 'master prompt' tab, Shared Foundation section B. Reuse those definitions verbatim when this prompt calls for 'Signal Stack check' — do not invent new ones.</t>
  </si>
  <si>
    <t>B. FLOW A — SINGLE-STOCK DEEP REPORT (runs Steps 1–11 below, in order, in one pass)</t>
  </si>
  <si>
    <t>Do not skip a step unless it is genuinely not applicable to the sector (e.g., Banking metrics for a non-financial stock) — state why if skipped. Output to a new tab named after the stock, same style as prior stock tabs.</t>
  </si>
  <si>
    <t>STEP 0 — Identify &amp; Route</t>
  </si>
  <si>
    <t>From the 'sector names' tab, map the stock to its exact Sector, Benchmark Index and Macro-Economic Sector bucket. From the matching sector tab, identify the specific Industry within that sector (e.g., within Information Technology → IT Services / Cloud &amp; SaaS / Cybersecurity, etc.). This routing decides which sector tab and which industry sub-block you pull in Steps 2 and 3.</t>
  </si>
  <si>
    <t>STEP 1 — COMMON PARAMETERS (quantitative base layer, run FIRST)</t>
  </si>
  <si>
    <t>Score all 70 fundamentals from the 'common parameters' tab: Valuation (#1–10), Profitability (#11–18), Growth (#19–24), Leverage (#25–32), Liquidity (#33–35), Efficiency (#36–46), Cash Flow (#41–46, #62–70 as applicable), Banking &amp; NBFC block (#47–57, Financial Services stocks only), Governance (#58–61), DuPont (#62–64).</t>
  </si>
  <si>
    <t>For each: pull the value, compare to sector/5-yr context, and score. Skip the Banking &amp; NBFC block entirely for non-Financial-Services stocks (use the 'Alternative Formula' / 'Sector Applicability' columns as the skip rule).</t>
  </si>
  <si>
    <t>Output as one table: Parameter | Category | Value | Score(1–10) | Observation.</t>
  </si>
  <si>
    <t>STEP 2 — SECTOR-SPECIFIC FUNDAMENTALS (from the matching sector tab)</t>
  </si>
  <si>
    <t>Open the sector tab identified in Step 0 (e.g., 'Information Technology', 'Financial Services', 'Metals &amp; Mining' …). Score the sector-level weighted fundamentals listed at the top of that tab (the 4–7 row summary block with Weight / Ideal / Why it matters columns).</t>
  </si>
  <si>
    <t>STEP 3 — INDUSTRY-SPECIFIC FUNDAMENTALS (drill into the sub-block within the same sector tab)</t>
  </si>
  <si>
    <t>Within that same sector tab, go to the specific industry sub-block identified in Step 0 (e.g., 'IT Services' or 'Cloud &amp; SaaS' within Information Technology). Score every weighted KPI listed there against its 'Ideal / Benchmark' column. These are the 8–15 non-common, industry-unique parameters — this is where most of the differentiation between two stocks in the same sector shows up.</t>
  </si>
  <si>
    <t>Combine Steps 1–3 into the Quantitative Composite using the existing weighting rule: sector + industry-specific parameters = 25% of Quantitative Composite, common-parameter categories = 75% (category-weighted). GATE CHECK: Quantitative Composite must be ≥6.0 to proceed with full conviction — if below, continue the analysis but flag it clearly in the final verdict.</t>
  </si>
  <si>
    <t>STEP 4 — EARNINGS QUALITY &amp; RED FLAGS</t>
  </si>
  <si>
    <t>CFO/PAT divergence (&lt;0.7 for 2+ yrs = flag), Beneish M-Score / Sloan Accrual Ratio, revenue-recognition red flags (unbilled revenue growth &gt;&gt; revenue growth, Q4-heavy sales), balance-sheet quality (Goodwill/Total Assets &gt;20%, receivables growth vs revenue growth), auditor quality &amp; CARO remarks, related-party transaction %, effective tax rate consistency, promoter pledge % and insider activity.</t>
  </si>
  <si>
    <t>HARD STOP flag (not a full stop, but a loud flag in the final verdict) if 3+ red flags fire simultaneously.</t>
  </si>
  <si>
    <t>STEP 5 — QUALITATIVE SCORING (Layer 1 + Layer 2, from 'Qualitative Framework' tab)</t>
  </si>
  <si>
    <t>Layer 1 — Sector Overlay (40% of Qualitative Composite): score the 7 sector-level factors and their weights exactly as defined in the 'Qualitative Framework' tab (Regulatory Environment, Structural Demand Trend, Competitive Intensity &amp; Moat Sustainability, Cyclicality &amp; Earnings Visibility, Technology Disruption Risk, ESG &amp; Governance Quality, Capital Market Access) — pull the weights from that tab, do not assume round numbers.</t>
  </si>
  <si>
    <t>Layer 2 — Industry-Specific Factors (60% of Qualitative Composite): use the 6 pre-assigned factors for this sector, as listed in the 'Qualitative Framework' tab's Layer 2 section (drawn from the 15-factor menu in 'Qualitative Guide').</t>
  </si>
  <si>
    <t>Qualitative Composite = (Layer 1 × 0.40) + (Layer 2 × 0.60). Assign Band A(≥8.5) / B(≥7.0) / C(≥5.5) / D(≥4.0) / F(&lt;4.0) per the 'Qualitative Guide' bands. GATE CHECK: Band C or above (≥5.5) to proceed with conviction — Band D/F = quantitatively-cheap-but-qualitatively-poor value-trap risk, flag explicitly.</t>
  </si>
  <si>
    <t>STEP 6 — CURRENT ECONOMIC CYCLE &amp; MACRO CONTEXT</t>
  </si>
  <si>
    <t>Baseline from the 'economic indications' tab (RBI stance, repo rate, inflation target, Union Budget capex allocation, sectoral push areas) — refresh with live search per Section A1 if available. Add: GDP growth (real &amp; nominal), IIP, PMI (Mfg+Services) and business-cycle phase (expansion/peak/contraction/trough); yield curve shape and credit growth; INR/USD trend, forex reserves, CAD/GDP, FII/DII monthly flows; global context (Fed rate path, China PMI, crude outlook, geopolitical risk) if the sector is exposed (IT, Pharma exporters; Oil &amp; Gas, Metals importers).</t>
  </si>
  <si>
    <t>GATE CHECK: does the macro backdrop favor this stock's sector right now? State favorable / neutral / hostile with the specific driver.</t>
  </si>
  <si>
    <t>STEP 7 — ANALYST &amp; BIG-BANK VIEWS + NEWS PULSE (institutional opinion layer, distinct from Step 8's ownership layer)</t>
  </si>
  <si>
    <t>Sell-side consensus: current Buy/Hold/Sell split, median &amp; range of 12-month target prices, direction and magnitude of target-price revisions in the last 30–90 days, and whether revisions were earnings-driven or re-rating-driven.</t>
  </si>
  <si>
    <t>Named house views where available (domestic: Motilal Oswal, ICICI Securities, Kotak Institutional Equities, Nuvama, IIFL, Jefferies-India desk; global: Morgan Stanley, Goldman Sachs, JPMorgan, CLSA) — summarize their stance directionally in your own words; do not quote brokerage notes verbatim (copyright).</t>
  </si>
  <si>
    <t>Upcoming catalysts / news pulse (next 30–90 days): confirmed results date, AGM/EGM, any scheduled capex commissioning, pending regulatory approvals, sector-level policy events, and macro events (RBI MPC date, Budget-linked triggers) that could move the stock. Tag each item with source and date.</t>
  </si>
  <si>
    <t>Disclose plainly which of the above you verified live vs. which is from prior knowledge and needs a manual check before it goes to a client.</t>
  </si>
  <si>
    <t>STEP 8 — INSTITUTIONAL SIGNAL STACK (ownership-based corroboration, Tier 1 always; Tier 2 if conviction is borderline)</t>
  </si>
  <si>
    <t>Run the Tier 1 checklist from the 'master prompt' tab (MF Ownership Filter, Promoter Open-Market Buy, FII Accumulation Streak, Analyst Upgrade Cluster, Block/Bulk Deal Buyer Pattern). If the composite score sits near a gate-check boundary, add the Tier 2 checklist (LIC, SWF entry, PMS Manager Overlap, Cat III AIF Overlap, EPFO/NPS, QIP Quality, Family Office Buying, MSCI/FTSE Watch, Rights Issue Quality). Disclose which signals were checked and which were unavailable/inconclusive. No signal here is ever a standalone buy/sell call — it corroborates Steps 1–7, nothing more.</t>
  </si>
  <si>
    <t>STEP 9 — MARKET CYCLE FLOW &amp; VALUATION POSITIONING</t>
  </si>
  <si>
    <t>Nifty P/E (trailing &amp; forward) vs its own history; the stock's sector benchmark index P/E vs its own 5-yr history; market breadth and VIX level; sector rotation stage (money flowing in or out of this sector right now); the stock's own 5-yr P/E, P/B, EV/EBITDA band and where it sits today; 52-week high/low position and position vs 200-DMA. If the stock is near a 52-week low while its sector index is near highs, run the forensic check from Step 4 before concluding value trap vs. opportunity.</t>
  </si>
  <si>
    <t>STEP 10 — VALUATION (intrinsic + relative)</t>
  </si>
  <si>
    <t>Intrinsic: DCF-FCFF (or FCFE for Financial Services), Dividend Discount Model for mature payers, SOTP for conglomerates. Relative: peer comps (4–6 listed peers on P/E, P/B, EV/EBITDA, EV/Sales, ROE, D/E, 1Y/3Y/5Y return), historical multiple band (mean reversion), sector benchmark P/E premium/discount.</t>
  </si>
  <si>
    <t>Triangulate into a fair-value range (bear/base/bull), attach a 12-month target price, and compute Margin of Safety = (Fair Value − CMP) / Fair Value. GATE CHECK: at least 2 of 3 valuation methods should agree on direction — if they diverge wildly, recheck assumptions before finalizing.</t>
  </si>
  <si>
    <t>STEP 11 — RISK REGISTER, CATALYSTS &amp; FINAL VERDICT</t>
  </si>
  <si>
    <t>Risk register (business/operational, financial, regulatory/legal, market/macro, ESG/reputational) as probability × impact. Catalysts: near-term (0–6mo), medium-term (6–18mo), long-term (18mo+). Anti-thesis: the strongest case against the stock, and 3 specific, falsifiable conditions that would break the thesis.</t>
  </si>
  <si>
    <t>Final Composite Score = Quantitative Composite (60%) + Qualitative Composite (40%). Band A(≥8.5 Strong Buy) / B(≥7.0 Buy) / C(≥5.5 Hold) / D(≥4.0 Underperform) / F(&lt;4.0 Avoid). Overlay valuation from Step 10: high score + undervalued = Strong Buy; high score + fair value = Buy on dips; high score + overvalued = Watchlist; low score + undervalued = Value trap.</t>
  </si>
  <si>
    <t>Action decision (BUY/ADD/HOLD/REDUCE/SELL/WATCHLIST), position sizing by conviction (high 5–8%, medium 2–5%, low 1–2%), entry strategy (lump sum vs staggered, technical entry zone), review triggers (quarterly results, ±30%/-20% price triggers, event-driven), and a 1-page investment thesis. Attach a confidence rating (High/Med/Low) to the overall call. Offer — do not force — a visual: flow chart of the thesis logic, systems map of key variable dependencies, or a buy/hold/sell decision tree.</t>
  </si>
  <si>
    <t>C. FLOW B — CLIENT STOCK SUGGESTION (funnel: wide at top, narrow at bottom)</t>
  </si>
  <si>
    <t>Full stage detail already lives in the 'master prompt' tab (Stages 0–8) — reuse it as-is. This section only re-anchors it to the same Common → Sector → Industry → Qualitative → Macro → Analyst/News → Market-Cycle → Verdict spine used in Flow A, so both flows feel like one system.</t>
  </si>
  <si>
    <t>Stage 0 — Client Profiling Gate (mandatory before touching any stock)</t>
  </si>
  <si>
    <t>Ask if not already known: (1) behavioral risk tolerance — 'portfolio drops 30% in 6 months: buy more, hold, or panic-sell?'; (2) time horizon — &lt;2yrs = not equity territory, 3–5yrs = large-cap compounders, 7+yrs = full menu; (3) goals &amp; constraints — purpose of capital, exclusions, tax sensitivity.</t>
  </si>
  <si>
    <t>Stage 1 — Macro Filter</t>
  </si>
  <si>
    <t>Stage 2 — Sector Shortlisting</t>
  </si>
  <si>
    <t>Use 'sector names' tab to pick the 3–4 most favorable sectors from Stage 1. Concentrate first, diversify second.</t>
  </si>
  <si>
    <t>Stage 3 — Screener-Based Stock Shortlist (Common Parameters, applied as filters)</t>
  </si>
  <si>
    <t>From the 'common parameters' logic (Step 1 of Flow A), apply base filters adjusted by Stage-0 risk profile: ROCE &gt;15%, D/E &lt;1x, Revenue CAGR(5Y) &gt;12%, Promoter Holding &gt;40% &amp; stable, CFO/PAT &gt;0.8, market-cap tier set by client horizon/risk. Narrows universe to ~15–20 candidates per sector.</t>
  </si>
  <si>
    <t>Stage 4 — Institutional Signal Stack (= Step 8 of Flow A, Tier 1)</t>
  </si>
  <si>
    <t>Layer MF Ownership → PEG+Earnings Momentum → FII Accumulation/Promoter Buy → Quality-Momentum Combo → Forensic/Red-Flag check (= Step 4 of Flow A). Narrows to 8–10 final names.</t>
  </si>
  <si>
    <t>Stage 5 — Quick Mode Filter</t>
  </si>
  <si>
    <t>10-parameter rapid check per stock (~20–30 min each): Business quality → Moat → Debt → Cash flow → ROCE → Valuation → Promoter quality → Sector cycle → Key risks → Overall thesis strength. Narrows to 5–6 names.</t>
  </si>
  <si>
    <t>Stage 6 — Deep Dive</t>
  </si>
  <si>
    <t>Run full Flow A Steps 2–11 (skip Step 0/1 re-derivation, reuse Stage 3 screen) on the top 3–5 names. Conviction is built here, not earlier.</t>
  </si>
  <si>
    <t>Stage 7 — High-Conviction Validation (optional, final 1–2 names)</t>
  </si>
  <si>
    <t>Stage 8 — Portfolio Construction</t>
  </si>
  <si>
    <t>No single stock &gt;15% of portfolio, no single sector &gt;35%, 3–5 names per sector max, cash allocation set by Stage-1 market valuation comfort. Guard against: recency bias, narrative seduction, overcomplication, and skipping the Step-4-equivalent earnings-quality check.</t>
  </si>
  <si>
    <t>Output: one suggested stock (or 10–12 name portfolio) with score band, target price, upside, key catalysts, main risk/anti-thesis, which institutional signals corroborated the pick, and confidence rating.</t>
  </si>
  <si>
    <t>D. QUALITY AUDIT (run silently before delivering either flow's output)</t>
  </si>
  <si>
    <t>✓ Trigger phrase correctly routed to Flow A or B  ✓ Live-search vs stale-data disclosed (Section A1)  ✓ Common → Sector → Industry sequence followed in that order  ✓ Qualitative Layer 1+2 weights pulled from 'Qualitative Framework' tab, not assumed  ✓ Macro cycle stated favorable/neutral/hostile  ✓ Analyst/big-bank view + upcoming news section included with sources/dates  ✓ Signal stack checked and disclosed  ✓ Earnings-quality/red-flag check not skipped  ✓ Anti-thesis considered  ✓ Confidence rating attached  ✓ Visual offered, not forced  ✓ Advisor + plain-English client layer both included.</t>
  </si>
  <si>
    <t>S.No</t>
  </si>
  <si>
    <t>Fundamental</t>
  </si>
  <si>
    <t>Formula</t>
  </si>
  <si>
    <t>Alternative Formula</t>
  </si>
  <si>
    <t>Category</t>
  </si>
  <si>
    <t>Sector Applicability</t>
  </si>
  <si>
    <t>Price-to-Earnings (P/E)</t>
  </si>
  <si>
    <t>Market Price per Share / EPS</t>
  </si>
  <si>
    <t>Market Cap / Net Profit</t>
  </si>
  <si>
    <t>Valuation</t>
  </si>
  <si>
    <t>All Sectors</t>
  </si>
  <si>
    <t>Price-to-Book (P/B)</t>
  </si>
  <si>
    <t>Market Price per Share / Book Value per Share</t>
  </si>
  <si>
    <t>Market Cap / Total Shareholders' Equity</t>
  </si>
  <si>
    <t>All Sectors (primary for Financial Services)</t>
  </si>
  <si>
    <t>EV/EBITDA</t>
  </si>
  <si>
    <t>(Market Cap + Total Debt − Cash) / EBITDA</t>
  </si>
  <si>
    <t>Enterprise Value / Operating Profit + Depreciation</t>
  </si>
  <si>
    <t>All except Financial Services</t>
  </si>
  <si>
    <t>Price-to-Sales (P/S)</t>
  </si>
  <si>
    <t>Market Cap / Annual Revenue</t>
  </si>
  <si>
    <t>Market Price per Share / Revenue per Share</t>
  </si>
  <si>
    <t>PEG Ratio</t>
  </si>
  <si>
    <t>P/E Ratio / Annual EPS Growth Rate (%)</t>
  </si>
  <si>
    <t>(Price / EPS) / (EPS CAGR × 100)</t>
  </si>
  <si>
    <t>Dividend Yield</t>
  </si>
  <si>
    <t>(Annual Dividends per Share / Market Price per Share) × 100</t>
  </si>
  <si>
    <t>(Total Dividends Paid / Market Cap) × 100</t>
  </si>
  <si>
    <t>Dividend Payout Ratio</t>
  </si>
  <si>
    <t>(Dividends per Share / EPS) × 100</t>
  </si>
  <si>
    <t>(Total Dividends / Net Profit) × 100</t>
  </si>
  <si>
    <t>Earnings Yield</t>
  </si>
  <si>
    <t>(EPS / Market Price per Share) × 100</t>
  </si>
  <si>
    <t>(Net Profit / Market Cap) × 100 [= 1/P/E × 100]</t>
  </si>
  <si>
    <t>Free Cash Flow Yield</t>
  </si>
  <si>
    <t>(Free Cash Flow / Market Cap) × 100</t>
  </si>
  <si>
    <t>((CFO − CapEx) / Market Cap) × 100</t>
  </si>
  <si>
    <t>EV/Sales</t>
  </si>
  <si>
    <t>Enterprise Value / Annual Revenue</t>
  </si>
  <si>
    <t>(Market Cap + Debt − Cash) / Revenue</t>
  </si>
  <si>
    <t>Return on Equity (ROE)</t>
  </si>
  <si>
    <t>(Net Profit / Shareholders' Equity) × 100</t>
  </si>
  <si>
    <t>Net Margin × Asset Turnover × Equity Multiplier [DuPont]</t>
  </si>
  <si>
    <t>Profitability</t>
  </si>
  <si>
    <t>Return on Capital Employed (ROCE)</t>
  </si>
  <si>
    <t>(EBIT / Capital Employed) × 100</t>
  </si>
  <si>
    <t>EBIT / (Total Assets − Current Liabilities) × 100</t>
  </si>
  <si>
    <t>Return on Assets (ROA)</t>
  </si>
  <si>
    <t>(Net Profit / Total Assets) × 100</t>
  </si>
  <si>
    <t>(Net Profit / Average Total Assets) × 100</t>
  </si>
  <si>
    <t>Gross Profit Margin</t>
  </si>
  <si>
    <t>((Revenue − COGS) / Revenue) × 100</t>
  </si>
  <si>
    <t>(Gross Profit / Revenue) × 100</t>
  </si>
  <si>
    <t>FMCG, Healthcare, Consumer Durables, Oil Gas &amp; Consumable Fuels, Metals &amp; Mining</t>
  </si>
  <si>
    <t>Operating Profit Margin (EBITDA Margin)</t>
  </si>
  <si>
    <t>(EBITDA / Revenue) × 100</t>
  </si>
  <si>
    <t>((Revenue − COGS − OpEx) / Revenue) × 100 [before D&amp;A]</t>
  </si>
  <si>
    <t>Net Profit Margin (PAT Margin)</t>
  </si>
  <si>
    <t>(Net Profit / Revenue) × 100</t>
  </si>
  <si>
    <t>(PAT / Total Income) × 100</t>
  </si>
  <si>
    <t>EBIT Margin</t>
  </si>
  <si>
    <t>(EBIT / Revenue) × 100</t>
  </si>
  <si>
    <t>((EBITDA − Depreciation) / Revenue) × 100</t>
  </si>
  <si>
    <t>Return on Invested Capital (ROIC)</t>
  </si>
  <si>
    <t>NOPAT / Invested Capital</t>
  </si>
  <si>
    <t>[EBIT × (1 − Tax Rate)] / (Equity + Debt − Cash)</t>
  </si>
  <si>
    <t>Revenue Growth (YoY)</t>
  </si>
  <si>
    <t>((Current Year Revenue − Prior Year Revenue) / Prior Year Revenue) × 100</t>
  </si>
  <si>
    <t>(Revenue CAGR over N years) = (Revenue_N / Revenue_0)^(1/N) − 1</t>
  </si>
  <si>
    <t>Growth</t>
  </si>
  <si>
    <t>PAT Growth (YoY)</t>
  </si>
  <si>
    <t>((Current Year PAT − Prior Year PAT) / Prior Year PAT) × 100</t>
  </si>
  <si>
    <t>PAT CAGR = (PAT_N / PAT_0)^(1/N) − 1</t>
  </si>
  <si>
    <t>EPS Growth</t>
  </si>
  <si>
    <t>((Current Year EPS − Prior Year EPS) / Prior Year EPS) × 100</t>
  </si>
  <si>
    <t>Adjusted EPS Growth (post-split/bonus adjusted)</t>
  </si>
  <si>
    <t>EBITDA Growth</t>
  </si>
  <si>
    <t>((Current Year EBITDA − Prior Year EBITDA) / Prior Year EBITDA) × 100</t>
  </si>
  <si>
    <t>Operating Profit Growth (before D&amp;A)</t>
  </si>
  <si>
    <t>Book Value Growth</t>
  </si>
  <si>
    <t>((Current BV/Share − Prior BV/Share) / Prior BV/Share) × 100</t>
  </si>
  <si>
    <t>((Equity_N / Shares_N) − (Equity_0 / Shares_0)) / (Equity_0 / Shares_0) × 100</t>
  </si>
  <si>
    <t>Debt-to-Equity (D/E)</t>
  </si>
  <si>
    <t>Total Debt / Shareholders' Equity</t>
  </si>
  <si>
    <t>(Short-term Debt + Long-term Debt) / Total Equity</t>
  </si>
  <si>
    <t>Leverage</t>
  </si>
  <si>
    <t>All except Financial Services (use CAR for banks)</t>
  </si>
  <si>
    <t>Interest Coverage Ratio</t>
  </si>
  <si>
    <t>EBIT / Interest Expense</t>
  </si>
  <si>
    <t>EBITDA / Interest Expense</t>
  </si>
  <si>
    <t>Debt-to-EBITDA</t>
  </si>
  <si>
    <t>Total Debt / EBITDA</t>
  </si>
  <si>
    <t>Net Debt / EBITDA</t>
  </si>
  <si>
    <t>Net Debt-to-Equity</t>
  </si>
  <si>
    <t>(Total Debt − Cash &amp; Equivalents) / Shareholders' Equity</t>
  </si>
  <si>
    <t>(Borrowings − Cash − Investments) / Equity</t>
  </si>
  <si>
    <t>Equity Multiplier</t>
  </si>
  <si>
    <t>Total Assets / Shareholders' Equity</t>
  </si>
  <si>
    <t>1 + Debt-to-Equity Ratio</t>
  </si>
  <si>
    <t>All Sectors (DuPont component)</t>
  </si>
  <si>
    <t>Debt Service Coverage Ratio (DSCR)</t>
  </si>
  <si>
    <t>EBITDA / (Interest + Principal Repayments)</t>
  </si>
  <si>
    <t>Net Operating Income / Total Debt Service</t>
  </si>
  <si>
    <t>Industrials, Power, Metals &amp; Mining, Telecom, Oil Gas, Utilities</t>
  </si>
  <si>
    <t>Current Ratio</t>
  </si>
  <si>
    <t>Current Assets / Current Liabilities</t>
  </si>
  <si>
    <t>(Cash + Receivables + Inventory + Other CA) / CL</t>
  </si>
  <si>
    <t>Liquidity</t>
  </si>
  <si>
    <t>Quick Ratio (Acid Test)</t>
  </si>
  <si>
    <t>(Current Assets − Inventory) / Current Liabilities</t>
  </si>
  <si>
    <t>(Cash + Receivables + Marketable Securities) / CL</t>
  </si>
  <si>
    <t>Cash Ratio</t>
  </si>
  <si>
    <t>Cash &amp; Cash Equivalents / Current Liabilities</t>
  </si>
  <si>
    <t>(Cash + Marketable Securities) / CL</t>
  </si>
  <si>
    <t>Asset Turnover</t>
  </si>
  <si>
    <t>Revenue / Total Assets</t>
  </si>
  <si>
    <t>Revenue / Average Total Assets</t>
  </si>
  <si>
    <t>Efficiency</t>
  </si>
  <si>
    <t>Fixed Asset Turnover</t>
  </si>
  <si>
    <t>Revenue / Net Fixed Assets</t>
  </si>
  <si>
    <t>Revenue / Average Net PP&amp;E</t>
  </si>
  <si>
    <t>Consumer Durables, Healthcare, Industrials, Metals &amp; Mining, Power, Oil Gas</t>
  </si>
  <si>
    <t>Inventory Turnover</t>
  </si>
  <si>
    <t>COGS / Average Inventory</t>
  </si>
  <si>
    <t>Revenue / Average Inventory</t>
  </si>
  <si>
    <t>FMCG, Healthcare, Consumer Durables, Metals &amp; Mining, Oil Gas</t>
  </si>
  <si>
    <t>Inventory Days</t>
  </si>
  <si>
    <t>365 / Inventory Turnover</t>
  </si>
  <si>
    <t>(Average Inventory / COGS) × 365</t>
  </si>
  <si>
    <t>Receivable Days (DSO)</t>
  </si>
  <si>
    <t>(Average Receivables / Revenue) × 365</t>
  </si>
  <si>
    <t>365 / Receivables Turnover</t>
  </si>
  <si>
    <t>Payable Days (DPO)</t>
  </si>
  <si>
    <t>(Average Payables / COGS) × 365</t>
  </si>
  <si>
    <t>365 / Payables Turnover</t>
  </si>
  <si>
    <t>FMCG, Healthcare, Consumer Durables, Industrials, Metals &amp; Mining, Oil Gas</t>
  </si>
  <si>
    <t>Cash Conversion Cycle (CCC)</t>
  </si>
  <si>
    <t>Inventory Days + Receivable Days − Payable Days</t>
  </si>
  <si>
    <t>DIO + DSO − DPO</t>
  </si>
  <si>
    <t>Working Capital Turnover</t>
  </si>
  <si>
    <t>Revenue / (Current Assets − Current Liabilities)</t>
  </si>
  <si>
    <t>Revenue / Average Net Working Capital</t>
  </si>
  <si>
    <t>Free Cash Flow (FCF)</t>
  </si>
  <si>
    <t>Operating Cash Flow − Capital Expenditure</t>
  </si>
  <si>
    <t>CFO − Maintenance CapEx [owner earnings method]</t>
  </si>
  <si>
    <t>Cash Flow</t>
  </si>
  <si>
    <t>CFO-to-Net Income Ratio</t>
  </si>
  <si>
    <t>Cash Flow from Operations / Net Profit</t>
  </si>
  <si>
    <t>CFO / PAT</t>
  </si>
  <si>
    <t>Capex-to-Depreciation Ratio</t>
  </si>
  <si>
    <t>Capital Expenditure / Depreciation</t>
  </si>
  <si>
    <t>CapEx / D&amp;A</t>
  </si>
  <si>
    <t>Consumer Durables, Industrials, Metals &amp; Mining, Power, Telecom, Oil Gas</t>
  </si>
  <si>
    <t>CFO-to-Debt Ratio</t>
  </si>
  <si>
    <t>Cash Flow from Operations / Total Debt</t>
  </si>
  <si>
    <t>CFO / (Short-term + Long-term Debt)</t>
  </si>
  <si>
    <t>Accruals Ratio</t>
  </si>
  <si>
    <t>(Net Income − Operating Cash Flow) / Total Assets</t>
  </si>
  <si>
    <t>(Δ Net Operating Assets) / Average Total Assets</t>
  </si>
  <si>
    <t>Capex-to-Revenue Ratio</t>
  </si>
  <si>
    <t>(Capital Expenditure / Revenue) × 100</t>
  </si>
  <si>
    <t>CapEx / Sales</t>
  </si>
  <si>
    <t>Net Interest Margin (NIM)</t>
  </si>
  <si>
    <t>(Net Interest Income / Avg Interest-Earning Assets) × 100</t>
  </si>
  <si>
    <t>((Interest Earned − Interest Expended) / Avg Advances) × 100</t>
  </si>
  <si>
    <t>Banking &amp; NBFC</t>
  </si>
  <si>
    <t>Financial Services only</t>
  </si>
  <si>
    <t>CASA Ratio</t>
  </si>
  <si>
    <t>((CA Deposits + SA Deposits) / Total Deposits) × 100</t>
  </si>
  <si>
    <t>Low-cost Deposits / Total Deposits × 100</t>
  </si>
  <si>
    <t>Gross NPA Ratio (GNPA)</t>
  </si>
  <si>
    <t>(Gross NPAs / Gross Advances) × 100</t>
  </si>
  <si>
    <t>Non-Performing Loans / Total Loan Book × 100</t>
  </si>
  <si>
    <t>Net NPA Ratio (NNPA)</t>
  </si>
  <si>
    <t>(Gross NPA − Provisions) / (Gross Advances − Provisions) × 100</t>
  </si>
  <si>
    <t>Net NPAs / Net Advances × 100</t>
  </si>
  <si>
    <t>Provision Coverage Ratio (PCR)</t>
  </si>
  <si>
    <t>(Provisions for NPAs / Gross NPAs) × 100</t>
  </si>
  <si>
    <t>Cumulative Provisions / Gross NPAs × 100</t>
  </si>
  <si>
    <t>Capital Adequacy Ratio (CAR/CRAR)</t>
  </si>
  <si>
    <t>((Tier 1 + Tier 2 Capital) / Risk-Weighted Assets) × 100</t>
  </si>
  <si>
    <t>CET1 Ratio = Common Equity Tier 1 / RWA × 100</t>
  </si>
  <si>
    <t>Cost-to-Income Ratio</t>
  </si>
  <si>
    <t>(Operating Expenses / Total Income) × 100</t>
  </si>
  <si>
    <t>OpEx / (NII + Non-Interest Income) × 100</t>
  </si>
  <si>
    <t>Credit-Deposit Ratio (CD Ratio)</t>
  </si>
  <si>
    <t>(Total Advances / Total Deposits) × 100</t>
  </si>
  <si>
    <t>Loan Book / Total Deposits × 100</t>
  </si>
  <si>
    <t>Credit Cost</t>
  </si>
  <si>
    <t>(Provisions &amp; Contingencies / Average Advances) × 100</t>
  </si>
  <si>
    <t>Loan Loss Provisions / Average Loan Book × 100</t>
  </si>
  <si>
    <t>Loan Book Growth</t>
  </si>
  <si>
    <t>((Current Yr Advances − Prior Yr Advances) / Prior Yr Advances) × 100</t>
  </si>
  <si>
    <t>YoY Gross Advances Growth %</t>
  </si>
  <si>
    <t>Slippage Ratio</t>
  </si>
  <si>
    <t>(Fresh NPAs during period / Opening Standard Advances) × 100</t>
  </si>
  <si>
    <t>New Slippages / Total Loans at Start of Period × 100</t>
  </si>
  <si>
    <t>Promoter Holding (%)</t>
  </si>
  <si>
    <t>(Shares held by Promoters / Total Shares Outstanding) × 100</t>
  </si>
  <si>
    <t>Promoter + Promoter Group Shares / Total Shares × 100</t>
  </si>
  <si>
    <t>Governance</t>
  </si>
  <si>
    <t>Promoter Pledge (%)</t>
  </si>
  <si>
    <t>(Pledged Promoter Shares / Total Promoter Shares) × 100</t>
  </si>
  <si>
    <t>Encumbered Promoter Shares / Promoter Holding × 100</t>
  </si>
  <si>
    <t>FII Holding (%)</t>
  </si>
  <si>
    <t>(Shares held by FIIs / Total Shares Outstanding) × 100</t>
  </si>
  <si>
    <t>Foreign Portfolio Investor Shares / Total Shares × 100</t>
  </si>
  <si>
    <t>DII Holding (%)</t>
  </si>
  <si>
    <t>(Shares held by DIIs / Total Shares Outstanding) × 100</t>
  </si>
  <si>
    <t>Mutual Fund + Insurance + PF Shares / Total Shares × 100</t>
  </si>
  <si>
    <t>DuPont — Net Margin Component</t>
  </si>
  <si>
    <t>Net Profit / Revenue</t>
  </si>
  <si>
    <t>PAT / Total Income</t>
  </si>
  <si>
    <t>DuPont</t>
  </si>
  <si>
    <t>DuPont — Asset Turnover Component</t>
  </si>
  <si>
    <t>Sales / Average Total Assets</t>
  </si>
  <si>
    <t>DuPont — Equity Multiplier Component</t>
  </si>
  <si>
    <t>1 / (1 − Debt Ratio)</t>
  </si>
  <si>
    <t>Retention Ratio</t>
  </si>
  <si>
    <t>1 − (Dividends per Share / EPS)</t>
  </si>
  <si>
    <t>(Net Income − Dividends) / Net Income</t>
  </si>
  <si>
    <t>Sustainable Growth Rate (SGR)</t>
  </si>
  <si>
    <t>ROE × Retention Ratio</t>
  </si>
  <si>
    <t>ROE × (1 − Dividend Payout Ratio)</t>
  </si>
  <si>
    <t>Altman Z-Score</t>
  </si>
  <si>
    <t>1.2(WC/TA) + 1.4(RE/TA) + 3.3(EBIT/TA) + 0.6(MktCap/TL) + 1.0(Sales/TA)</t>
  </si>
  <si>
    <t>Z &gt; 2.99 = Safe; 1.81–2.99 = Grey; &lt; 1.81 = Distress</t>
  </si>
  <si>
    <t>Revenue per Employee</t>
  </si>
  <si>
    <t>Total Revenue / Number of Employees</t>
  </si>
  <si>
    <t>Annual Sales / Average Headcount</t>
  </si>
  <si>
    <t>IT, Healthcare, Industrials</t>
  </si>
  <si>
    <t>Operating Cash Flow per Share</t>
  </si>
  <si>
    <t>Cash Flow from Operations / Total Shares Outstanding</t>
  </si>
  <si>
    <t>CFO / Diluted Shares Outstanding</t>
  </si>
  <si>
    <t>Price-to-Cash Flow (P/CF)</t>
  </si>
  <si>
    <t>Market Price per Share / Operating Cash Flow per Share</t>
  </si>
  <si>
    <t>Market Cap / Cash Flow from Operations</t>
  </si>
  <si>
    <t>📋 QUALITATIVE SCORING FRAMEWORK — VISUAL GUIDE</t>
  </si>
  <si>
    <t>A step-by-step visual reference for scoring stocks using the Hybrid Qualitative Framework</t>
  </si>
  <si>
    <t>🎯 WHAT IS THIS?</t>
  </si>
  <si>
    <t>A structured way to score the "non-number" stuff about a stock — management, moats, regulation, growth runways.</t>
  </si>
  <si>
    <t>Financial ratios tell you WHAT HAPPENED. This framework tells you WHY it happened and WHETHER IT WILL CONTINUE.</t>
  </si>
  <si>
    <t>🏗️ THE ARCHITECTURE</t>
  </si>
  <si>
    <t>Hybrid = Sector-level overlay (Layer 1) + Industry-specific factors (Layer 2), combined into one composite score.</t>
  </si>
  <si>
    <t>LAYER 1</t>
  </si>
  <si>
    <t>LAYER 2</t>
  </si>
  <si>
    <t>"What’s the weather in this entire sector?"</t>
  </si>
  <si>
    <t>➡️</t>
  </si>
  <si>
    <t>"What makes THIS industry different?"</t>
  </si>
  <si>
    <t>40% of final score</t>
  </si>
  <si>
    <t>COMBINE</t>
  </si>
  <si>
    <t>60% of final score</t>
  </si>
  <si>
    <t>COMPOSITE FORMULA</t>
  </si>
  <si>
    <t>Composite Score  =  ( Layer 1 Score  ×  0.40 )  +  ( Layer 2 Score  ×  0.60 )</t>
  </si>
  <si>
    <t>Result: A single score from 1–10 for every industry — combining sector macro + industry-specific quality</t>
  </si>
  <si>
    <t>STEP 1</t>
  </si>
  <si>
    <t>SCORE LAYER 1 — SECTOR OVERLAY  (40% of final)</t>
  </si>
  <si>
    <t>Score ALL 7 factors below for the sector. Same factors, same weights for every sector. Only the SCORE (1–10) changes.</t>
  </si>
  <si>
    <t>#</t>
  </si>
  <si>
    <t>Factor</t>
  </si>
  <si>
    <t>Weight</t>
  </si>
  <si>
    <t>What It Really Asks</t>
  </si>
  <si>
    <t>🔴 Score 1–3 (Poor)</t>
  </si>
  <si>
    <t>🟡 Score 4–6 (Average)</t>
  </si>
  <si>
    <t>🟢 Score 7–10 (Strong)</t>
  </si>
  <si>
    <t>Regulatory Environment</t>
  </si>
  <si>
    <t>Is the government helping or hurting this sector?</t>
  </si>
  <si>
    <t>Hostile, tightening rules, frequent adverse changes</t>
  </si>
  <si>
    <t>Stable framework, neutral, predictable</t>
  </si>
  <si>
    <t>Favorable, liberalizing, clear rules, minimal intervention</t>
  </si>
  <si>
    <t>Structural Demand Trend</t>
  </si>
  <si>
    <t>Is this sector riding a 10-year growth wave or slowly dying?</t>
  </si>
  <si>
    <t>Sunset industry, shrinking market (coal, print media)</t>
  </si>
  <si>
    <t>GDP-linked growth, mature, 5–8% growth</t>
  </si>
  <si>
    <t>Secular 12%+ growth, structural tailwinds (digitization, financialization)</t>
  </si>
  <si>
    <t>Competitive Intensity</t>
  </si>
  <si>
    <t>Is it an oligopoly (3 players) or a bloodbath (10,000 players)?</t>
  </si>
  <si>
    <t>Fragmented, commoditized, no pricing power, easy entry</t>
  </si>
  <si>
    <t>Some differentiation, regional moats, moderate competition</t>
  </si>
  <si>
    <t>Oligopoly, strong moats, top 3–5 control &gt;60% share</t>
  </si>
  <si>
    <t>Cyclicality &amp; Earnings Visibility</t>
  </si>
  <si>
    <t>Are earnings predictable or do they swing wildly every year?</t>
  </si>
  <si>
    <t>Highly cyclical, &gt;40% swings, no forward visibility</t>
  </si>
  <si>
    <t>Moderate, 15–30% variance, some order book visibility</t>
  </si>
  <si>
    <t>Recurring/subscription model, &lt;15% variance, multi-year visibility</t>
  </si>
  <si>
    <t>Technology Disruption</t>
  </si>
  <si>
    <t>Is technology a THREAT (killing the business) or a TAILWIND (driving growth)?</t>
  </si>
  <si>
    <t>Existential threat (fossil fuel → renewable, retail → e-commerce)</t>
  </si>
  <si>
    <t>Adapting — can transition (banks adopting UPI, auto → EV)</t>
  </si>
  <si>
    <t>Sector IS the disruptor (IT, fintech, SaaS, renewable energy)</t>
  </si>
  <si>
    <t>ESG &amp; Governance Quality</t>
  </si>
  <si>
    <t>Does the sector have structural governance/environmental risks?</t>
  </si>
  <si>
    <t>High emissions, governance concerns, promoter tunnelling</t>
  </si>
  <si>
    <t>Mixed track record, improving ESG, manageable compliance</t>
  </si>
  <si>
    <t>Strong governance culture, ESG leadership, attracts FII flows</t>
  </si>
  <si>
    <t>Capital Market Access</t>
  </si>
  <si>
    <t>Can companies in this sector easily raise money &amp; attract institutional investors?</t>
  </si>
  <si>
    <t>No institutional interest, thin liquidity, no sector ETFs</t>
  </si>
  <si>
    <t>Moderate FII/DII ownership, adequate liquidity, in broad indices</t>
  </si>
  <si>
    <t>Deep institutional ownership, dedicated ETFs, easy capital access</t>
  </si>
  <si>
    <t>💡 EXAMPLE: Same 7 factors, different scores for different sectors</t>
  </si>
  <si>
    <t>💻 IT Sector Score</t>
  </si>
  <si>
    <t>Weighted</t>
  </si>
  <si>
    <t>⛏️ Metals Sector Score</t>
  </si>
  <si>
    <t>Structural Demand</t>
  </si>
  <si>
    <t>Cyclicality</t>
  </si>
  <si>
    <t>Tech Disruption</t>
  </si>
  <si>
    <t>ESG &amp; Governance</t>
  </si>
  <si>
    <t>Capital Access</t>
  </si>
  <si>
    <t>LAYER 1 TOTAL</t>
  </si>
  <si>
    <t>☝️ KEY INSIGHT: Same 7 factors, same weights — but IT scores 8.30 vs Metals 4.75. The sector "weather" is fundamentally different.</t>
  </si>
  <si>
    <t>STEP 2</t>
  </si>
  <si>
    <t>SCORE LAYER 2 — INDUSTRY-SPECIFIC  (60% of final)</t>
  </si>
  <si>
    <t>Each sector has 6 PRE-ASSIGNED factors from a menu of 15. You DON’T need to pick — it’s already decided. Just score them 1–10.</t>
  </si>
  <si>
    <t>THE 15-FACTOR MENU (grouped by category)</t>
  </si>
  <si>
    <t>Factor 1</t>
  </si>
  <si>
    <t>Factor 2</t>
  </si>
  <si>
    <t>Factor 3</t>
  </si>
  <si>
    <t>In One Line</t>
  </si>
  <si>
    <t>👤 Management</t>
  </si>
  <si>
    <t>Mgmt Quality &amp; Capital Allocation</t>
  </si>
  <si>
    <t>Promoter Pedigree &amp; Succession</t>
  </si>
  <si>
    <t>Skin in the Game (Insider Ownership)</t>
  </si>
  <si>
    <t>WHO is running the company and are their interests aligned with yours?</t>
  </si>
  <si>
    <t>🛡️ Competitive Moat</t>
  </si>
  <si>
    <t>Brand &amp; Pricing Power</t>
  </si>
  <si>
    <t>Switching Costs &amp; Lock-in</t>
  </si>
  <si>
    <t>IP &amp; Innovation Moat</t>
  </si>
  <si>
    <t>WHAT stops competitors from stealing this company's lunch?</t>
  </si>
  <si>
    <t>🎯 Market Position</t>
  </si>
  <si>
    <t>Distribution &amp; Market Access</t>
  </si>
  <si>
    <t>Export Competitiveness</t>
  </si>
  <si>
    <t>Regulatory / License Moat</t>
  </si>
  <si>
    <t>WHERE and HOW does this company sell — and can others replicate it?</t>
  </si>
  <si>
    <t>⚠️ Risk &amp; Resilience</t>
  </si>
  <si>
    <t>Supply Chain Resilience</t>
  </si>
  <si>
    <t>Policy &amp; Govt Dependency</t>
  </si>
  <si>
    <t>Environmental &amp; Climate Risk</t>
  </si>
  <si>
    <t>WHAT can go WRONG that's beyond the company's control?</t>
  </si>
  <si>
    <t>🚀 Growth &amp; Scale</t>
  </si>
  <si>
    <t>Scalability of Business Model</t>
  </si>
  <si>
    <t>Addressable Market Runway</t>
  </si>
  <si>
    <t>Talent Availability</t>
  </si>
  <si>
    <t>HOW BIG can this get and what fuels the growth engine?</t>
  </si>
  <si>
    <t>🧠 THE SELECTION LOGIC — "Why does each sector pick what it picks?"</t>
  </si>
  <si>
    <t>The #1 question: "What is the SINGLE BIGGEST thing that makes or breaks companies in this sector?" The answer determines which factors get the highest weight.</t>
  </si>
  <si>
    <t>If the sector is driven by...</t>
  </si>
  <si>
    <t>Top factors will be...</t>
  </si>
  <si>
    <t>Because...</t>
  </si>
  <si>
    <t>Sectors</t>
  </si>
  <si>
    <t>What's NOT picked (and why)</t>
  </si>
  <si>
    <t>💰 Consumer choice</t>
  </si>
  <si>
    <t>Brand, Distribution, Market Runway</t>
  </si>
  <si>
    <t>End consumer makes the purchase decision. Brand trust and shop availability = everything.</t>
  </si>
  <si>
    <t>FMCG, Consumer Durables, Consumer Services, Hotels</t>
  </si>
  <si>
    <t>Not Supply Chain (don't have factories), not IP (no patents), not Policy (minimal govt involvement)</t>
  </si>
  <si>
    <t>🧠 People &amp; knowledge</t>
  </si>
  <si>
    <t>Talent, Switching Costs, IP &amp; Innovation</t>
  </si>
  <si>
    <t>People ARE the product. Knowledge creates lock-in. Talent shortage = growth constraint.</t>
  </si>
  <si>
    <t>IT, Healthcare, Services, AI &amp; Analytics</t>
  </si>
  <si>
    <t>Not Distribution (B2B, not retail), not Brand (clients care about delivery, not ads)</t>
  </si>
  <si>
    <t>🏦 Capital &amp; trust</t>
  </si>
  <si>
    <t>Regulatory Moat, Mgmt Quality, Skin in the Game</t>
  </si>
  <si>
    <t>License scarcity is the moat. One bad management decision can destroy the franchise.</t>
  </si>
  <si>
    <t>Financial Services, Realty, Diversified Conglomerates</t>
  </si>
  <si>
    <t>Not Export (domestic business), not Supply Chain (no physical raw materials for banks)</t>
  </si>
  <si>
    <t>⚙️ Physical assets &amp; commodities</t>
  </si>
  <si>
    <t>Supply Chain, Environmental Risk, Policy Dependency</t>
  </si>
  <si>
    <t>Raw material access = survival. Environmental costs are real. Government controls pricing/licenses.</t>
  </si>
  <si>
    <t>Metals, Chemicals, Oil &amp; Gas, Power, Agriculture</t>
  </si>
  <si>
    <t>Not Brand (steel is steel — nobody cares who made it), not Switching Costs (commodity = easy to switch)</t>
  </si>
  <si>
    <t>🚀 Innovation &amp; disruption</t>
  </si>
  <si>
    <t>IP &amp; Innovation, Export, Scalability</t>
  </si>
  <si>
    <t>Technology creates moats. Global markets provide growth. Platform effects create scale.</t>
  </si>
  <si>
    <t>Media, Capital Goods, Auto, Telecom</t>
  </si>
  <si>
    <t>Not Distribution (digital delivery), not Policy Dependency (market-driven sectors)</t>
  </si>
  <si>
    <t>💡 KEY CONCEPT: Industries within a sector use the SAME factors but get DIFFERENT scores</t>
  </si>
  <si>
    <t>Example: All IT industries use Talent, Switching Costs, Exports, Scalability, IP, Mgmt — but scores are very different:</t>
  </si>
  <si>
    <t>Factor (IT Sector)</t>
  </si>
  <si>
    <t>💻 IT Services</t>
  </si>
  <si>
    <t>Why</t>
  </si>
  <si>
    <t>📞 BPO / ITES</t>
  </si>
  <si>
    <t>☁️ Cloud &amp; SaaS</t>
  </si>
  <si>
    <t>Talent</t>
  </si>
  <si>
    <t>Deep talent pool, 600K+ hires/year</t>
  </si>
  <si>
    <t>High attrition &gt;30%, entry-level roles</t>
  </si>
  <si>
    <t>Switching Costs</t>
  </si>
  <si>
    <t>Deep system integration, multi-year contracts</t>
  </si>
  <si>
    <t>Easy to switch BPO vendors</t>
  </si>
  <si>
    <t>Exports</t>
  </si>
  <si>
    <t>75%+ revenue from US/Europe</t>
  </si>
  <si>
    <t>Good exports but less differentiated</t>
  </si>
  <si>
    <t>Scalability</t>
  </si>
  <si>
    <t>Revenue scales with headcount (linear)</t>
  </si>
  <si>
    <t>Very linear, pure headcount business</t>
  </si>
  <si>
    <t>IP &amp; Innovation</t>
  </si>
  <si>
    <t>Limited IP, services-based model</t>
  </si>
  <si>
    <t>Commoditized processes, minimal IP</t>
  </si>
  <si>
    <t>Mgmt Quality</t>
  </si>
  <si>
    <t>TCS/Infy: institutional governance</t>
  </si>
  <si>
    <t>Average, high cost pressure</t>
  </si>
  <si>
    <t>LAYER 2 SCORE</t>
  </si>
  <si>
    <t>☝️ Same sector, same factors — but Cloud &amp; SaaS (8.15) is qualitatively far superior to BPO (4.85). This is exactly why Layer 2 exists!</t>
  </si>
  <si>
    <t>STEP 3</t>
  </si>
  <si>
    <t>COMBINE &amp; INTERPRET — GET THE FINAL ANSWER</t>
  </si>
  <si>
    <t>Composite = (Layer 1 × 40%) + (Layer 2 × 60%). Then look up which band the score falls in.</t>
  </si>
  <si>
    <t>💡 FULL WORKED EXAMPLE: Scoring IT Services</t>
  </si>
  <si>
    <t>Component</t>
  </si>
  <si>
    <t>Score</t>
  </si>
  <si>
    <t>Contribution</t>
  </si>
  <si>
    <t>How we got here</t>
  </si>
  <si>
    <t>Layer 1 (IT Sector)</t>
  </si>
  <si>
    <t>× 40%</t>
  </si>
  <si>
    <t>From the IT sector Layer 1 scoring above (7 factors)</t>
  </si>
  <si>
    <t>Layer 2 (IT Services)</t>
  </si>
  <si>
    <t>× 60%</t>
  </si>
  <si>
    <t>From the IT Services Layer 2 scoring above (6 factors)</t>
  </si>
  <si>
    <t>⭐ COMPOSITE SCORE</t>
  </si>
  <si>
    <t>= 3.32 + 4.41 = Band B (Strong)</t>
  </si>
  <si>
    <t>🎯 SCORE INTERPRETATION BANDS — What does the number mean?</t>
  </si>
  <si>
    <t>Band</t>
  </si>
  <si>
    <t>Rating</t>
  </si>
  <si>
    <t>What it means</t>
  </si>
  <si>
    <t>What to do</t>
  </si>
  <si>
    <t>Valuation impact</t>
  </si>
  <si>
    <t>Indian market examples</t>
  </si>
  <si>
    <t>A</t>
  </si>
  <si>
    <t>8.0 – 10.0</t>
  </si>
  <si>
    <t>⭐ Exceptional</t>
  </si>
  <si>
    <t>Structural compounder. Deep moats + favorable sector + great management. This combination is extremely rare.</t>
  </si>
  <si>
    <t>Core portfolio. Accumulate on dips. Hold through market cycles. These are your 10-year bets.</t>
  </si>
  <si>
    <t>Deserves 20–40% premium over sector median P/E. Market rightly pays for quality.</t>
  </si>
  <si>
    <t>HDFC Bank, TCS, Asian Paints, Titan, Bajaj Finance, Pidilite, DMart</t>
  </si>
  <si>
    <t>B</t>
  </si>
  <si>
    <t>6.5 – 7.9</t>
  </si>
  <si>
    <t>🟢 Strong</t>
  </si>
  <si>
    <t>Quality franchise with clear competitive advantages. A few minor weaknesses but nothing structural.</t>
  </si>
  <si>
    <t>Strong candidate. Build position at reasonable valuations. Watch for catalysts that could push to Band A.</t>
  </si>
  <si>
    <t>Fair-to-slight premium. 10–20% above sector median is justified.</t>
  </si>
  <si>
    <t>Infosys, Kotak Bank, Sun Pharma, SRF, Divi’s Labs, ABB India</t>
  </si>
  <si>
    <t>C</t>
  </si>
  <si>
    <t>5.0 – 6.4</t>
  </si>
  <si>
    <t>🟡 Average</t>
  </si>
  <si>
    <t>Nothing special qualitatively. Could go either way. Stock selection depends entirely on valuations and quant score.</t>
  </si>
  <si>
    <t>Selective only. Need strong quant score AND attractive valuation. No qualitative margin of safety.</t>
  </si>
  <si>
    <t>Sector median valuation. No premium or discount warranted.</t>
  </si>
  <si>
    <t>Wipro, Cipla, Apollo Hospitals, Tata Motors, UltraTech, Godrej Consumer</t>
  </si>
  <si>
    <t>D</t>
  </si>
  <si>
    <t>3.0 – 4.9</t>
  </si>
  <si>
    <t>🟠 Weak</t>
  </si>
  <si>
    <t>Qualitative concerns outweigh positives. Governance, cyclicality, or structural issues create meaningful risk.</t>
  </si>
  <si>
    <t>Tactical only. Max 2–3% portfolio. Needs specific catalyst (new mgmt, demerger, policy reform). Tight stop-loss.</t>
  </si>
  <si>
    <t>Apply 15–30% discount to sector median. Only at deep value.</t>
  </si>
  <si>
    <t>SAIL, NHPC, PNB, Vodafone Idea, IDBI Bank</t>
  </si>
  <si>
    <t>F</t>
  </si>
  <si>
    <t>1.0 – 2.9</t>
  </si>
  <si>
    <t>🔴 Avoid</t>
  </si>
  <si>
    <t>Broken business model, governance fraud, sunset industry, or terminal regulatory destruction. No valuation is cheap enough.</t>
  </si>
  <si>
    <t>DO NOT INVEST. No position size is safe. These are permanent capital loss candidates. Walk away.</t>
  </si>
  <si>
    <t>N/A — value trap territory. Financials may not be reliable. Cash may not reach minorities.</t>
  </si>
  <si>
    <t>Companies under SEBI investigation, shell cos, &gt;80% promoter pledge + declining business</t>
  </si>
  <si>
    <t>STEP 4</t>
  </si>
  <si>
    <t>INTEGRATE INTO FINAL STOCK SCORE</t>
  </si>
  <si>
    <t>The Qualitative Composite feeds into the overall stock scoring model alongside the Quantitative Score from sector fundamentals.</t>
  </si>
  <si>
    <t>FINAL STOCK SCORE  =  ( Quantitative Score  ×  0.60 )  +  ( Qualitative Composite  ×  0.40 )</t>
  </si>
  <si>
    <t>60% hard numbers (from 70 fundamentals in sector sheets)  +  40% qualitative judgment (from this framework)</t>
  </si>
  <si>
    <t>🧩 THE SIMPLE ANALOGY</t>
  </si>
  <si>
    <t>Analogy</t>
  </si>
  <si>
    <t>What it does</t>
  </si>
  <si>
    <t>In practice</t>
  </si>
  <si>
    <t>📈 Quantitative</t>
  </si>
  <si>
    <t>The X-Ray — what’s inside the body today</t>
  </si>
  <si>
    <t>Shows current financial health (P/E, ROCE, margins, growth)</t>
  </si>
  <si>
    <t>70 fundamentals scored from the 23 sector sheets</t>
  </si>
  <si>
    <t>🌦️ Layer 1 (Sector)</t>
  </si>
  <si>
    <t>The Climate — is the environment healthy or toxic?</t>
  </si>
  <si>
    <t>Shows whether the sector macro is a tailwind or headwind</t>
  </si>
  <si>
    <t>7 fixed factors, same for all sectors, 40% of qualitative score</t>
  </si>
  <si>
    <t>🏋️ Layer 2 (Industry)</t>
  </si>
  <si>
    <t>The Lifestyle — does this person exercise, eat well, have good genes?</t>
  </si>
  <si>
    <t>Shows the specific qualitative strengths/weaknesses of this industry</t>
  </si>
  <si>
    <t>6 selected factors per sector, 60% of qualitative score</t>
  </si>
  <si>
    <t>⭐ Composite</t>
  </si>
  <si>
    <t>The Doctor’s Verdict — overall health prognosis</t>
  </si>
  <si>
    <t>Single 1–10 score combining sector weather + industry-specific quality</t>
  </si>
  <si>
    <t>Feeds into final stock score at 40% weight</t>
  </si>
  <si>
    <t>🚀 5-STEP CHEAT SHEET — How to score ANY stock in 15 minutes</t>
  </si>
  <si>
    <t>Action</t>
  </si>
  <si>
    <t>Where to look</t>
  </si>
  <si>
    <t>Time</t>
  </si>
  <si>
    <t>Output</t>
  </si>
  <si>
    <t>1️⃣</t>
  </si>
  <si>
    <t>Identify the stock’s sector and industry</t>
  </si>
  <si>
    <t>‘sector names’ sheet → find the sector, then its sector sheet for industry list</t>
  </si>
  <si>
    <t>1 min</t>
  </si>
  <si>
    <t>Sector name + Industry name</t>
  </si>
  <si>
    <t>2️⃣</t>
  </si>
  <si>
    <t>Score Layer 1 (7 sector factors, 1–10 each)</t>
  </si>
  <si>
    <t>‘Qualitative Framework’ sheet, rows 8–15 for factor rubrics</t>
  </si>
  <si>
    <t>5 min</t>
  </si>
  <si>
    <t>Sector Score (e.g., 8.30)</t>
  </si>
  <si>
    <t>3️⃣</t>
  </si>
  <si>
    <t>Look up the 6 pre-assigned Layer 2 factors for your sector</t>
  </si>
  <si>
    <t>‘Qualitative Framework’ sheet, rows 62–85 (factor assignment table)</t>
  </si>
  <si>
    <t>6 factors with weights</t>
  </si>
  <si>
    <t>4️⃣</t>
  </si>
  <si>
    <t>Score Layer 2 (6 industry factors, 1–10 each)</t>
  </si>
  <si>
    <t>‘Qualitative Framework’ sheet, rows 26–41 for factor rubrics</t>
  </si>
  <si>
    <t>Industry Score (e.g., 7.35)</t>
  </si>
  <si>
    <t>5️⃣</t>
  </si>
  <si>
    <t>Calculate: (Layer 1 × 0.40) + (Layer 2 × 0.60) → Look up band</t>
  </si>
  <si>
    <t>‘Qualitative Framework’ sheet, rows 52–57 for interpretation bands</t>
  </si>
  <si>
    <t>Composite Score + Band (e.g., 7.73 = Band B)</t>
  </si>
  <si>
    <t>✅ Total time: ~13 minutes per stock. Score once, review quarterly.</t>
  </si>
  <si>
    <t>No</t>
  </si>
  <si>
    <t>Sector Name</t>
  </si>
  <si>
    <t>Benchmark Index</t>
  </si>
  <si>
    <t>NSE Code</t>
  </si>
  <si>
    <t>Macro-Economic Sector</t>
  </si>
  <si>
    <t>Chemicals</t>
  </si>
  <si>
    <t>Nifty Chemicals</t>
  </si>
  <si>
    <t>IN0101</t>
  </si>
  <si>
    <t>Commodities</t>
  </si>
  <si>
    <t>Construction Materials</t>
  </si>
  <si>
    <t>Nifty Cement</t>
  </si>
  <si>
    <t>IN0102</t>
  </si>
  <si>
    <t>Metals &amp; Mining</t>
  </si>
  <si>
    <t>Nifty Metal</t>
  </si>
  <si>
    <t>IN0103</t>
  </si>
  <si>
    <t>Forest Materials</t>
  </si>
  <si>
    <t>Nifty Commodities</t>
  </si>
  <si>
    <t>IN0104</t>
  </si>
  <si>
    <t>Automobile &amp; Auto Components</t>
  </si>
  <si>
    <t>Nifty Auto</t>
  </si>
  <si>
    <t>IN0201</t>
  </si>
  <si>
    <t>Consumer Discretionary</t>
  </si>
  <si>
    <t>Consumer Durables</t>
  </si>
  <si>
    <t>Nifty Consumer Durables</t>
  </si>
  <si>
    <t>IN0202</t>
  </si>
  <si>
    <t>Textiles</t>
  </si>
  <si>
    <t>IN0203</t>
  </si>
  <si>
    <t>Media, Entertainment &amp; Publication</t>
  </si>
  <si>
    <t>Nifty Media</t>
  </si>
  <si>
    <t>IN0204</t>
  </si>
  <si>
    <t>Realty</t>
  </si>
  <si>
    <t>Nifty Realty</t>
  </si>
  <si>
    <t>IN0205</t>
  </si>
  <si>
    <t>Consumer Services</t>
  </si>
  <si>
    <t>Nifty India Tourism</t>
  </si>
  <si>
    <t>IN0206</t>
  </si>
  <si>
    <t>Oil, Gas &amp; Consumable Fuels</t>
  </si>
  <si>
    <t>Nifty Oil and Gas</t>
  </si>
  <si>
    <t>IN0301</t>
  </si>
  <si>
    <t>Energy</t>
  </si>
  <si>
    <t>Fast Moving Consumer Goods (FMCG)</t>
  </si>
  <si>
    <t>Nifty FMCG</t>
  </si>
  <si>
    <t>IN0401</t>
  </si>
  <si>
    <t>Fast Moving Consumer Goods</t>
  </si>
  <si>
    <t>Financial Services</t>
  </si>
  <si>
    <t>Nifty Financial Services</t>
  </si>
  <si>
    <t>IN0501</t>
  </si>
  <si>
    <t>Healthcare</t>
  </si>
  <si>
    <t>Nifty Healthcare</t>
  </si>
  <si>
    <t>IN0601</t>
  </si>
  <si>
    <t>Construction</t>
  </si>
  <si>
    <t>Nifty Infrastructure</t>
  </si>
  <si>
    <t>IN0701</t>
  </si>
  <si>
    <t>Industrials</t>
  </si>
  <si>
    <t>Capital Goods</t>
  </si>
  <si>
    <t>Nifty India Manufacturing</t>
  </si>
  <si>
    <t>IN0702</t>
  </si>
  <si>
    <t>Information Technology</t>
  </si>
  <si>
    <t>Nifty IT</t>
  </si>
  <si>
    <t>IN0801</t>
  </si>
  <si>
    <t>Services</t>
  </si>
  <si>
    <t>Nifty Services Sector</t>
  </si>
  <si>
    <t>IN0901</t>
  </si>
  <si>
    <t>Telecommunication</t>
  </si>
  <si>
    <t>Nifty MidSmall IT &amp; Telecom</t>
  </si>
  <si>
    <t>IN1001</t>
  </si>
  <si>
    <t>Power</t>
  </si>
  <si>
    <t>Nifty Energy</t>
  </si>
  <si>
    <t>IN1101</t>
  </si>
  <si>
    <t>Utilities</t>
  </si>
  <si>
    <t>IN1102</t>
  </si>
  <si>
    <t>Diversified</t>
  </si>
  <si>
    <t>Nifty Conglomerate</t>
  </si>
  <si>
    <t>IN1201</t>
  </si>
  <si>
    <t>Agriculture &amp; Agri-Business</t>
  </si>
  <si>
    <t>Custom</t>
  </si>
  <si>
    <t>Custom (not in NSE classification)</t>
  </si>
  <si>
    <t>QUALITATIVE SCORING FRAMEWORK</t>
  </si>
  <si>
    <t>Hybrid approach: Sector-level overlay (Layer 1) + Industry-specific factors (Layer 2). Score each factor 1–10. Weighted scores combine for qualitative composite.</t>
  </si>
  <si>
    <t>LAYER 1: SECTOR QUALITATIVE OVERLAY</t>
  </si>
  <si>
    <t>Applied to ALL industries within a sector. Captures macro-level qualitative risks and tailwinds common to the entire sector.</t>
  </si>
  <si>
    <t>Score 1–3 (Poor)</t>
  </si>
  <si>
    <t>Score 4–6 (Average)</t>
  </si>
  <si>
    <t>Score 7–10 (Strong)</t>
  </si>
  <si>
    <t>Hostile/tightening regulation, frequent adverse changes, regulatory uncertainty</t>
  </si>
  <si>
    <t>Stable regulatory framework, neutral policy stance, predictable changes</t>
  </si>
  <si>
    <t>Favorable/liberalizing, clear framework, self-regulation, minimal intervention</t>
  </si>
  <si>
    <t>Regulation is the single biggest qualitative driver for Indian sectors — RBI for Financial Services, IRDAI for Insurance, SEBI for Capital Markets, TRAI for Telecom, FSSAI for FMCG. Policy shifts can redefine industry economics overnight. Score reflects current direction of regulation, not just current state.</t>
  </si>
  <si>
    <t>Declining/sunset industry, shrinking TAM, structural headwinds (e.g., coal, print media)</t>
  </si>
  <si>
    <t>Cyclical/GDP-linked growth, mature market, 5–8% growth</t>
  </si>
  <si>
    <t>Secular multi-year growth &gt;12%, clear structural tailwinds (financialization, digitization, urbanization)</t>
  </si>
  <si>
    <t>Captures whether the sector is riding a long-term structural wave or facing headwinds. India's per-capita consumption gap vs. global averages creates structural runways in insurance, housing, consumer durables, healthcare. Highest weight because structural demand is the most durable qualitative advantage.</t>
  </si>
  <si>
    <t>Competitive Intensity &amp; Moat Sustainability</t>
  </si>
  <si>
    <t>Fragmented, commoditized, no pricing power, low barriers to entry, constant margin pressure from new entrants</t>
  </si>
  <si>
    <t>Moderate concentration, some differentiation possible, regional moats but national competition, brand matters but isn't decisive</t>
  </si>
  <si>
    <t>Oligopolistic structure, strong brand/IP/network moats, high switching costs, top 3–5 players control &gt;60% market share</t>
  </si>
  <si>
    <t>Moat durability separates compounders from cyclical traps. Indian sectors vary enormously — Telecom is a 3-player oligopoly (Jio, Airtel, Vi) with massive entry barriers (₹1.5L Cr spectrum), while Textiles is hyper-fragmented with 10,000+ manufacturers and near-zero pricing power. Financial Services has RBI-created regulatory moats (banking license scarcity). IT Services has scale moats (TCS, Infy have 600K+ employees — replicating that delivery engine takes decades). Score the structural competitive dynamics, not just current market share.</t>
  </si>
  <si>
    <t>Highly cyclical (commodity-linked, monsoon-dependent, capex-cycle driven), earnings swing &gt;40% peak-to-trough, no forward visibility beyond 1 quarter</t>
  </si>
  <si>
    <t>Moderately cyclical, earnings vary 15–30% through cycle, some contract/order book visibility (6–12 months), mix of recurring and one-time revenue</t>
  </si>
  <si>
    <t>Defensive/recurring revenue model, earnings variance &lt;15%, multi-year order books or subscription base, high revenue predictability (annuity, SaaS, regulated returns)</t>
  </si>
  <si>
    <t>Earnings visibility determines valuation multiple sustainability. Indian markets pay 40–80x P/E for predictable compounders (FMCG, IT Services) but only 8–15x for cyclicals (Metals, Chemicals) despite similar ROE. This isn't irrational — predictable earnings allow confident DCF modelling, institutional accumulation, and lower cost of equity. Sectors with annuity-like cash flows (Power PPAs, IT multi-year contracts, Insurance renewal premiums) deserve structural valuation premiums. Cyclical sectors (Metals, Realty, Chemicals) require timing skill and through-cycle valuation frameworks. Score reflects the inherent earnings pattern, not current-year performance.</t>
  </si>
  <si>
    <t>Technology Disruption Risk / Opportunity</t>
  </si>
  <si>
    <t>Business model under existential threat from technology shifts (print media vs. digital, traditional retail vs. e-commerce, fossil fuels vs. renewables), slow to adapt, legacy infrastructure lock-in</t>
  </si>
  <si>
    <t>Technology is reshaping the value chain but incumbents can adapt (banks adopting UPI, auto OEMs transitioning to EV), moderate capital required to stay relevant, 3–5 year adaptation window</t>
  </si>
  <si>
    <t>Technology is a tailwind — sector is the disruptor (IT, Digital, Fintech, Renewable Energy), or technology amplifies existing moats (AI in pharma R&amp;D, IoT in manufacturing, precision agriculture)</t>
  </si>
  <si>
    <t>India is experiencing simultaneous technology disruptions across sectors — UPI is reshaping payments (Financial Services), EV transition threatens ICE auto (Automobiles), GenAI is redefining IT Services delivery models, e-commerce is compressing traditional retail margins, and renewable energy is making thermal power plants stranded assets. Unlike developed markets where disruption plays out over decades, India's leapfrog adoption (500M UPI users in 5 years, 5G rollout in 18 months) compresses disruption timelines. Score reflects whether technology is an existential threat, a manageable transition, or a structural growth driver for the sector. Sectors scoring 1–3 need a 'disruption discount' in valuation; sectors scoring 7–10 deserve a 'digital premium'.</t>
  </si>
  <si>
    <t>ESG &amp; Corporate Governance Quality</t>
  </si>
  <si>
    <t>Sector-wide governance concerns (promoter pledge &gt;50%, related-party tunnelling, opaque holding structures), high environmental liability exposure, poor labour practices, frequent SEBI/regulatory actions</t>
  </si>
  <si>
    <t>Mixed governance track record, improving ESG disclosure, some promoter concentration but adequate board independence, manageable environmental compliance costs</t>
  </si>
  <si>
    <t>Strong governance culture (independent boards, transparent reporting, minimal pledging), ESG leadership (net-zero commitments, circular economy), attracts FII/DII flows, BRSR compliance ahead of mandate</t>
  </si>
  <si>
    <t>ESG is no longer optional in Indian markets — SEBI's BRSR (Business Responsibility and Sustainability Reporting) mandate, MSCI/Sustainalytics screening for index inclusion, and FII allocation frameworks increasingly gate capital on ESG scores. Sectors with structural ESG risks (Metals — emissions, mining displacement; Power — coal dependency, ash disposal; Chemicals — effluent, hazmat) face rising compliance costs that permanently compress margins by 2–5%. Governance quality determines whether minority shareholders participate in value creation or watch promoters extract it — Indian markets have a long history of promoter tunnelling (related-party transactions, pledging, preferential allotments at discounts). Score reflects sector-level governance DNA and ESG exposure, not individual company behaviour.</t>
  </si>
  <si>
    <t>Capital Market Access &amp; Institutional Flows</t>
  </si>
  <si>
    <t>Limited institutional interest, poor index representation, thin liquidity (avg daily volume &lt;₹5 Cr for most stocks), difficulty raising equity/debt capital, no dedicated sector ETFs/MF schemes</t>
  </si>
  <si>
    <t>Moderate institutional ownership (FII+DII 20–40%), adequate liquidity for mid-caps, sector represented in broad indices but not in top weight, occasional capital raises successful</t>
  </si>
  <si>
    <t>Deep institutional ownership (FII+DII &gt;40%), dedicated sector indices and ETFs (Nifty Bank, Nifty IT, Nifty Pharma), high liquidity, easy access to equity and debt capital markets, regular FII flows</t>
  </si>
  <si>
    <t>Capital market access creates a self-reinforcing cycle — sectors with deep liquidity and index representation attract more institutional flows, which improve price discovery, reduce volatility, and lower cost of capital. Nifty Bank and Nifty IT have dedicated ETFs with ₹50,000+ Cr AUM each, ensuring continuous institutional demand. Financial Services commands ~35% weight in Nifty 50, making it virtually impossible for large-cap fund managers to underweight. Conversely, sectors like Textiles, Forest Materials, and Agriculture have minimal institutional interest — most stocks trade &lt;₹10 Cr daily, making position building difficult for MFs. This illiquidity discount is real: two companies with identical fundamentals will trade at different multiples purely based on sector liquidity. Score reflects the structural capital market ecosystem around the sector, not individual stock liquidity.</t>
  </si>
  <si>
    <t>Total Weight</t>
  </si>
  <si>
    <t>Layer 1 Score Formula</t>
  </si>
  <si>
    <t>= Σ (Weight_i × Score_i) for i = 1 to 7</t>
  </si>
  <si>
    <t>Result: Sector Qualitative Score (1–10 scale). Apply uniformly to ALL industries within the sector before adding Layer 2 adjustments.</t>
  </si>
  <si>
    <t>LAYER 2: INDUSTRY-SPECIFIC QUALITATIVE FACTORS</t>
  </si>
  <si>
    <t>Applied at the INDUSTRY level within each sector. Captures micro-level qualitative nuances that differentiate industries from each other within the same sector.</t>
  </si>
  <si>
    <t>Unlike Layer 1 (fixed 7 factors for all sectors), Layer 2 uses a MENU of qualitative factors — each industry picks 5–7 factors most relevant to its competitive dynamics.</t>
  </si>
  <si>
    <t>The factor MENU and scoring rubrics are defined below. Each industry's specific factor selection is noted in its sector sheet.</t>
  </si>
  <si>
    <t>Qualitative Factor</t>
  </si>
  <si>
    <t>Score 1–3 (Weak)</t>
  </si>
  <si>
    <t>Score 4–6 (Moderate)</t>
  </si>
  <si>
    <t>Best Applicable To</t>
  </si>
  <si>
    <t>Management Quality &amp; Capital Allocation Track Record</t>
  </si>
  <si>
    <t>Management</t>
  </si>
  <si>
    <t>History of value-destructive M&amp;A, empire-building capex with sub-WACC returns, frequent equity dilution, related-party transactions benefiting promoters, poor communication with investors</t>
  </si>
  <si>
    <t>Competent operational management, adequate capital allocation (ROCE ~WACC), occasional missteps but self-correcting, reasonable investor communication, no major governance red flags</t>
  </si>
  <si>
    <t>Exceptional capital allocators (ROCE consistently &gt;2x WACC), disciplined M&amp;A with proven integration, counter-cyclical investment, transparent guidance with high accuracy, founder-led with skin in the game (&gt;50% holding, zero pledge)</t>
  </si>
  <si>
    <t>All industries — but especially critical for Capital Goods, Diversified Conglomerates, Financial Services, Realty (capital-intensive sectors where management decisions compound over decades)</t>
  </si>
  <si>
    <t>Promoter Pedigree &amp; Succession Planning</t>
  </si>
  <si>
    <t>First-generation promoter with no succession plan, family disputes visible, key-man risk (business = one person), professional management revolving door (3+ CEO changes in 5 years)</t>
  </si>
  <si>
    <t>Established promoter family with second-generation involvement, professional CEO with 3–5 year tenure, board has adequate independent directors, succession discussed but not formalized</t>
  </si>
  <si>
    <t>Multi-generational promoter with smooth transitions (Bajaj, Godrej, Tata, Murugappa), or founder-led with clearly groomed successor, deep professional management bench, institutional governance culture</t>
  </si>
  <si>
    <t>Family-run businesses (FMCG, Consumer Durables, Realty, Textiles, Diversified), Banks (CEO succession is RBI-regulated), Insurance, IT Services (founder transitions: Infy post-Murthy, Wipro post-Premji)</t>
  </si>
  <si>
    <t>Skin in the Game (Insider Ownership &amp; Alignment)</t>
  </si>
  <si>
    <t>Promoter holding &lt;25%, high pledge ratio (&gt;40% of promoter shares pledged), recent insider selling, ESOPs at deep discount without performance vesting, misaligned incentive structures</t>
  </si>
  <si>
    <t>Promoter holding 35–50%, minimal pledge (&lt;10%), occasional ESOP grants with standard vesting, management compensation linked to revenue/profit targets but not TSR</t>
  </si>
  <si>
    <t>Promoter holding &gt;50% with zero pledge, incremental buying on dips, management ESOPs tied to long-term TSR/ROCE targets, significant personal wealth tied to company stock, aligned long-term incentives</t>
  </si>
  <si>
    <t>All industries — universally applicable. Especially important for mid-cap and small-cap companies where promoter behaviour is the single biggest risk factor. Track promoter pledge trends over 8 quarters, not just current snapshot.</t>
  </si>
  <si>
    <t>Brand Strength &amp; Pricing Power</t>
  </si>
  <si>
    <t>Competitive Moat</t>
  </si>
  <si>
    <t>Commodity product with zero brand premium, price-taker in the market, customers switch on 1–2% price difference, no differentiation beyond specification compliance</t>
  </si>
  <si>
    <t>Recognized brand within the industry but not top-of-mind, 5–10% pricing premium over generics, moderate customer loyalty, brand matters for new customer acquisition but not retention</t>
  </si>
  <si>
    <t>Category-defining brand (Asian Paints, Titan, Pidilite, HDFC Bank), 15–30% pricing premium sustained over cycles, customers resist switching even at price disadvantage, brand is the moat itself</t>
  </si>
  <si>
    <t>FMCG, Consumer Durables, Paints, Jewellery, Retail Banking, Insurance, Hospitals, Diagnostics, Consumer Services — any B2C industry where the end consumer makes the purchase decision. Less relevant for B2B/commodity industries (Metals, Chemicals, Power).</t>
  </si>
  <si>
    <t>Switching Costs &amp; Customer Lock-in</t>
  </si>
  <si>
    <t>Zero switching costs, customers can shift overnight, no integration or data lock-in, contracts are short-term or non-existent, commoditized service delivery</t>
  </si>
  <si>
    <t>Moderate switching costs (6–12 month transition), some data/process integration, contractual lock-in for 1–2 years, switching is possible but inconvenient and mildly costly</t>
  </si>
  <si>
    <t>Very high switching costs — deep system integration (ERP, core banking), multi-year contracts with penalties, regulatory approvals required for switching, mission-critical dependency (cloud infrastructure, payment rails)</t>
  </si>
  <si>
    <t>IT Services (multi-year engagements, deep integration), Financial Services (core banking switch takes 2–3 years), Cloud &amp; SaaS (data migration costs), Telecom (number portability reduced but still exists), Healthcare (hospital-patient relationships, insurance network tie-ups)</t>
  </si>
  <si>
    <t>Intellectual Property &amp; Innovation Moat</t>
  </si>
  <si>
    <t>No proprietary technology, relies entirely on licensed/imported IP, zero patents or trade secrets, easy to replicate by any well-capitalized competitor, no R&amp;D culture</t>
  </si>
  <si>
    <t>Some proprietary processes or formulations, moderate patent portfolio (10–50 active patents), R&amp;D team exists but follows rather than leads, innovation is incremental not breakthrough</t>
  </si>
  <si>
    <t>Deep proprietary IP (100+ patents, proprietary molecules/processes, trade secrets), R&amp;D creates sustainable competitive advantage, innovation pipeline visible for 5+ years, IP licensing generates royalty income</t>
  </si>
  <si>
    <t>Pharmaceuticals (ANDA filings, biosimilar development), Specialty Chemicals (proprietary synthesis routes), Software Products (source code, algorithms), Biotechnology, Medical Equipment, Defence &amp; Aerospace, AI &amp; Data Analytics, Cybersecurity</t>
  </si>
  <si>
    <t>Distribution &amp; Market Access Moat</t>
  </si>
  <si>
    <t>Market Position</t>
  </si>
  <si>
    <t>Weak distribution, &lt;1,000 dealers/touchpoints, no direct customer access, dependent on 1–2 intermediaries for &gt;50% of sales, digital channel absent</t>
  </si>
  <si>
    <t>Moderate distribution (5,000–15,000 touchpoints), mix of direct and indirect channels, growing digital presence (5–15% of revenue online), regional strength but national gaps</t>
  </si>
  <si>
    <t>Pan-India distribution dominance (&gt;25,000 touchpoints), direct customer relationships, omni-channel presence (offline + online + D2C), distribution built over decades and nearly impossible to replicate</t>
  </si>
  <si>
    <t>FMCG (Hindustan Unilever's 9M+ outlets), Consumer Durables, Paints (Asian Paints 70,000+ dealer network), Agrochemicals &amp; Fertilizers, Cement, Farm Equipment, Building Materials — any industry where last-mile distribution is the competitive bottleneck</t>
  </si>
  <si>
    <t>Export Competitiveness &amp; Global Market Position</t>
  </si>
  <si>
    <t>Entirely domestic, no export capability, products don't meet global standards (US FDA, EU CE, ISO), no presence in international markets, currency risk not relevant</t>
  </si>
  <si>
    <t>Emerging exporter (10–25% of revenue), meets basic international certifications, present in 5–15 countries, competitive on cost but not yet on quality/brand in global markets</t>
  </si>
  <si>
    <t>Global leader or top-5 exporter from India (&gt;40% export revenue), multi-geography presence (30+ countries), global certifications (US FDA, EU GMP, REACH), CRAMS/CSM contracts with global innovators</t>
  </si>
  <si>
    <t>Pharmaceuticals (India = pharmacy of the world), IT Services (75%+ exports), Specialty Chemicals (China+1 beneficiary), Agrochemicals, Textiles (garment exports), Auto Components, Gems &amp; Jewellery. Less relevant for domestic-focused sectors (Realty, Power, Financial Services, Telecom).</t>
  </si>
  <si>
    <t>Regulatory &amp; License Moat (Entry Barriers)</t>
  </si>
  <si>
    <t>Low entry barriers, no licensing requirement, anyone with capital can enter, fragmented market with continuous new entrants, government policy encourages competition</t>
  </si>
  <si>
    <t>Moderate entry barriers — requires specialized skills, moderate capital investment, or technical certifications but not scarce licenses. New entrants appear every 2–3 years.</t>
  </si>
  <si>
    <t>High regulatory barriers — requires scarce government licenses (banking, insurance, telecom spectrum, mining lease, defence license), 5–10 year approval cycles, limited new licenses issued, incumbents structurally protected</t>
  </si>
  <si>
    <t>Banking (RBI license — only 2 new universal bank licenses in 10 years), Insurance (IRDAI), Telecom (spectrum auctions), Mining (lease allocation), Defence (DPIIT license), Airports (PPP concessions), Power Distribution (area franchise). The rarest and most valuable moat in Indian markets — government-created scarcity.</t>
  </si>
  <si>
    <t>Supply Chain Resilience &amp; Input Security</t>
  </si>
  <si>
    <t>Risk &amp; Resilience</t>
  </si>
  <si>
    <t>Single-source dependency for critical inputs, 80%+ imported raw materials, no backward integration, supply disruptions in last 3 years caused &gt;10% revenue impact</t>
  </si>
  <si>
    <t>Diversified supplier base (3–5 sources for key inputs), mix of domestic and imported materials, some long-term contracts but spot exposure remains 30–50%, manageable disruption risk</t>
  </si>
  <si>
    <t>Fully integrated or multi-source supply chain, critical inputs domestically secured, long-term linkage contracts (coal, gas, key chemicals), buffer inventory policy, no single supplier &gt;15% of input cost</t>
  </si>
  <si>
    <t>Metals &amp; Mining (coking coal import dependency), Chemicals (crude-linked feedstocks), Automobile (semiconductor supply chain), Pharma (API import from China — 70% of KSMs), Power (coal linkage), Fertilizers (gas, phosphoric acid import), Electronics (component imports). Post-COVID supply chain resilience is a board-level agenda item.</t>
  </si>
  <si>
    <t>Policy &amp; Government Dependency Risk</t>
  </si>
  <si>
    <t>Revenue directly controlled by government (subsidies, tariff orders, procurement), policy change can eliminate &gt;30% of revenue, government is the primary customer, payment delays are structural</t>
  </si>
  <si>
    <t>Government influence is material but manageable (&lt;20% revenue from government/subsidized channels), some policy sensitivity but business can adapt, mixed private-government customer base</t>
  </si>
  <si>
    <t>Minimal government dependency, fully market-driven pricing, private sector customer base, policy changes are tailwinds not threats (PLI scheme benefits, tax incentives, deregulation)</t>
  </si>
  <si>
    <t>Fertilizers (100% subsidy-dependent), Power Distribution (tariff-regulated), Defence (government is sole customer), Construction/EPC (60%+ government orders), Agriculture (MSP, procurement), Railways (100% Indian Railways). Opposite end: IT Services, FMCG, Consumer Durables have near-zero government dependency. Score captures structural policy exposure, not current government friendliness.</t>
  </si>
  <si>
    <t>Environmental &amp; Climate Risk Exposure</t>
  </si>
  <si>
    <t>High carbon emitter (&gt;50 tCO2e/Cr revenue), water-intensive in water-stressed regions, hazardous waste generator, climate change directly threatens operations (agriculture, coastal infrastructure), CBAM exposure for exports</t>
  </si>
  <si>
    <t>Moderate environmental footprint, manageable compliance costs (1–3% of revenue), transition pathway identified, renewable energy adoption &gt;30%, some climate risk but not existential</t>
  </si>
  <si>
    <t>Low environmental footprint (asset-light, digital), or actively part of the climate solution (renewable energy, EV, green hydrogen, waste management), ESG score attracts premium capital flows</t>
  </si>
  <si>
    <t>Metals (steel = 7–9% of India's CO2), Cement (process emissions), Chemicals (hazardous waste), Power (coal plants), Oil &amp; Gas (transition risk), Agriculture (monsoon/climate dependency). EU CBAM will directly impact Indian steel and aluminium exporters from 2026. Conversely, Renewable Energy, EV, Green Hydrogen, and Waste Management are structural beneficiaries of the climate transition.</t>
  </si>
  <si>
    <t>Growth &amp; Scale</t>
  </si>
  <si>
    <t>Linear business model — revenue scales 1:1 with headcount/capex, no operating leverage, each incremental unit of revenue requires proportional cost, geographic expansion requires full capital replication</t>
  </si>
  <si>
    <t>Moderate operating leverage — fixed cost base provides some scale benefits, 60–70% variable cost structure, expansion requires capital but at declining incremental cost</t>
  </si>
  <si>
    <t>Highly scalable — platform/network effects, near-zero marginal cost of serving additional customers (SaaS, digital, exchanges), strong operating leverage (50%+ incremental margin), hub-and-spoke expansion model</t>
  </si>
  <si>
    <t>Cloud &amp; SaaS (near-zero marginal cost), Exchanges (BSE/NSE — infinite operating leverage), Digital Media &amp; OTT, IT Services (partially scalable via offshore leverage), Insurance (once written, policies scale with minimal incremental cost). Opposite: BPO (headcount = revenue), Construction (each project is unique), Hospitals (bed capacity constrained), Agriculture (land-limited).</t>
  </si>
  <si>
    <t>Addressable Market Runway &amp; Penetration Gap</t>
  </si>
  <si>
    <t>Market fully penetrated (&gt;80% penetration), growth only from replacement/upgradation, TAM not expanding, market share gains require taking from entrenched competitors, GDP-linked growth at best</t>
  </si>
  <si>
    <t>Moderate penetration (40–70%), growth from both new customers and existing customer upgrades, TAM expanding at 10–15% but competition for new customers is intensifying</t>
  </si>
  <si>
    <t>Large under-penetrated market (&lt;40% penetration vs. global benchmarks), India's per-capita gap creates 10–20 year structural runway, TAM expanding through formalization, digitization, urbanization, or rising incomes</t>
  </si>
  <si>
    <t>Insurance (India 4% penetration vs. 7% global), Housing Finance (mortgage/GDP 12% vs. 50%+ developed), Healthcare (hospital beds/1000 at 0.5 vs. 3.0 global), Consumer Durables (AC penetration 8% vs. 40%+ China), Credit Cards (5% vs. 30%+ US). India's per-capita consumption gap across sectors is the single most powerful long-term investment thesis.</t>
  </si>
  <si>
    <t>Talent Availability &amp; Human Capital Moat</t>
  </si>
  <si>
    <t>Severe talent shortage constraining growth, attrition &gt;25%, specialized skills unavailable domestically, poaching war across industry, wage inflation &gt;15% annually eroding margins</t>
  </si>
  <si>
    <t>Adequate talent pool with competitive hiring, attrition 15–20%, specialized roles take 3–6 months to fill, wage growth in line with industry (8–12%), moderate training infrastructure</t>
  </si>
  <si>
    <t>Deep talent pool (India produces relevant graduates at scale), strong employer brand attracting top talent, attrition &lt;15%, robust training academies (TCS trains 40K freshers/year), talent is a competitive advantage not a constraint</t>
  </si>
  <si>
    <t>IT Services (600K+ hires/year from India's engineering ecosystem), Pharmaceuticals (India's pharma R&amp;D talent pool), Financial Services (chartered accountants, MBAs), Healthcare (doctor/nurse shortage is structural constraint), AI &amp; Data Analytics (global competition for ML talent), Cybersecurity (talent deficit globally). Sectors where talent IS the product (IT, consulting, healthcare) must score this heavily.</t>
  </si>
  <si>
    <t>SCORING INTEGRATION: HOW TO COMBINE LAYER 1 + LAYER 2</t>
  </si>
  <si>
    <t>Details</t>
  </si>
  <si>
    <t>Example</t>
  </si>
  <si>
    <t>Rationale</t>
  </si>
  <si>
    <t>Score Layer 1 (Sector Overlay)</t>
  </si>
  <si>
    <t>40% of Final</t>
  </si>
  <si>
    <t>Score each of the 7 sector factors (1–10). Multiply each score by its weight. Sum to get Sector Qualitative Score (1–10 scale).</t>
  </si>
  <si>
    <t>Sector Score (1–10)</t>
  </si>
  <si>
    <t>IT Sector: Regulatory 8 × 0.20 + Structural Demand 9 × 0.25 + Competitive 8 × 0.15 + Cyclicality 8 × 0.15 + Tech 9 × 0.10 + ESG 7 × 0.10 + Capital Access 9 × 0.05 = 8.30</t>
  </si>
  <si>
    <t>Layer 1 captures the macro-environment that ALL industries within the sector operate in. A rising tide lifts all boats — a sector with strong structural demand, favorable regulation, and deep capital access provides a tailwind to every industry within it. 40% weight ensures the sector context sets the baseline, but doesn't dominate.</t>
  </si>
  <si>
    <t>Score Layer 2 (Industry-Specific)</t>
  </si>
  <si>
    <t>60% of Final</t>
  </si>
  <si>
    <t>Select 5–7 factors from the Layer 2 menu most relevant to the industry. Assign weights (must total 1.00). Score each 1–10. Multiply and sum for Industry Qualitative Score.</t>
  </si>
  <si>
    <t>Industry Score (1–10)</t>
  </si>
  <si>
    <t>IT Services: Mgmt Quality 8×0.20 + Switching Cost 7×0.20 + Talent 8×0.15 + Scalability 7×0.15 + Export 9×0.15 + Brand 6×0.15 = 7.55</t>
  </si>
  <si>
    <t>Layer 2 is where differentiation happens. Two industries within the same sector (e.g., IT Services vs. BPO within IT) have very different qualitative profiles. Layer 2 captures these micro-level differences — talent dependency, IP moats, scalability, customer lock-in. 60% weight because industry-specific factors are ultimately more decisive for stock selection than sector-level macro.</t>
  </si>
  <si>
    <t>Calculate Composite Qualitative Score</t>
  </si>
  <si>
    <t>Final</t>
  </si>
  <si>
    <t>Composite = (Layer 1 Score × 0.40) + (Layer 2 Score × 0.60). Result is the final Qualitative Score on 1–10 scale.</t>
  </si>
  <si>
    <t>Composite Score (1–10)</t>
  </si>
  <si>
    <t>IT Services: (8.30 × 0.40) + (7.55 × 0.60) = 3.32 + 4.53 = 7.85</t>
  </si>
  <si>
    <t>The composite balances sector context (40%) with industry specifics (60%). A strong sector with a weak industry (Power sector + stranded gas plants) gets pulled down. A weak sector with a strong industry (Textiles sector + technical textiles niche) gets lifted. The 40:60 split was chosen because industry selection within a sector typically explains more return variance than sector selection alone.</t>
  </si>
  <si>
    <t>SCORE INTERPRETATION &amp; ACTION FRAMEWORK</t>
  </si>
  <si>
    <t>Score Range</t>
  </si>
  <si>
    <t>Qualitative Rating</t>
  </si>
  <si>
    <t>Valuation Implication</t>
  </si>
  <si>
    <t>Quantitative Override?</t>
  </si>
  <si>
    <t>India Market Examples</t>
  </si>
  <si>
    <t>Exceptional</t>
  </si>
  <si>
    <t>Deserves premium valuation (top-quartile P/E within sector). Qualitative moat justifies 20–40% premium over sector median multiple.</t>
  </si>
  <si>
    <t>Quantitative score must confirm (ROCE &gt; WACC, consistent growth). If quant is average but qual is exceptional — investigate if the moat hasn't yet reflected in financials (early-stage compounder).</t>
  </si>
  <si>
    <t>Core portfolio candidate. Accumulate on dips. Hold through cycles. These are India's structural compounders.</t>
  </si>
  <si>
    <t>HDFC Bank, TCS, Asian Paints, Bajaj Finance, Pidilite, Info Edge (Naukri), Avenue Supermarts (DMart), Titan</t>
  </si>
  <si>
    <t>Strong</t>
  </si>
  <si>
    <t>Fair-to-slight premium valuation. Qualitative supports paying 10–20% above sector median. Comfortable for institutional portfolios.</t>
  </si>
  <si>
    <t>Quant must be at least sector-average. Strong qual + below-average quant = potential turnaround or overrated brand. Dig deeper into what's holding financials back.</t>
  </si>
  <si>
    <t>Strong candidate. Build position if valuation is reasonable. Monitor for catalysts that could push to Band A (management upgrade, regulatory tailwind, TAM expansion).</t>
  </si>
  <si>
    <t>Infosys, Kotak Bank, Sun Pharma, SRF, Divi's Labs, Crompton Greaves Consumer, ABB India, Tube Investments</t>
  </si>
  <si>
    <t>Average</t>
  </si>
  <si>
    <t>Sector-median valuation appropriate. No qualitative premium or discount. Stock selection must rely primarily on quantitative factors and valuation discipline.</t>
  </si>
  <si>
    <t>Quantitative factors dominate stock selection in this band. Strong quant + average qual = value opportunity if priced at discount. Weak quant + average qual = avoid.</t>
  </si>
  <si>
    <t>Selective approach. Only invest when quantitative score is in top quartile AND valuation is at/below sector median. No qualitative margin of safety.</t>
  </si>
  <si>
    <t>Wipro, Canara Bank, Grasim, Cipla, Apollo Hospitals, Tata Motors, UltraTech Cement, Godrej Consumer</t>
  </si>
  <si>
    <t>Weak</t>
  </si>
  <si>
    <t>Qualitative discount warranted. Apply 15–30% discount to sector median multiple. Only invest at deep value with strong quantitative conviction.</t>
  </si>
  <si>
    <t>Even exceptional quant can't fully offset weak qual. If ROCE is 25%+ but governance is poor — returns accrue to promoter, not minority shareholders. Size positions smaller.</t>
  </si>
  <si>
    <t>Tactical only. Requires catalyst for re-rating (management change, demerger, regulatory reform). Position sizing: max 2–3% of portfolio. Tight stop-loss discipline.</t>
  </si>
  <si>
    <t>Vodafone Idea, SAIL, NHPC, IDBI Bank (improving), PNB, Jet Airways (post-restructuring), some PSU banks/companies with legacy governance issues</t>
  </si>
  <si>
    <t>Avoid</t>
  </si>
  <si>
    <t>No valuation is cheap enough. Structural qualitative risks (sunset industry, governance fraud, regulatory destruction) mean intrinsic value is uncertain or declining. Value trap territory.</t>
  </si>
  <si>
    <t>Quantitative irrelevant — financials may not be reliable (governance concerns), or business model is structurally broken regardless of current profitability. Cash flows may not reach minorities.</t>
  </si>
  <si>
    <t>DO NOT INVEST. No position size is safe. These are permanent capital loss candidates. Avoid regardless of price, valuation, or short-term momentum.</t>
  </si>
  <si>
    <t>Companies under SEBI investigation for fraud, coal mining stocks with stranded asset risk, print media with structural decline, companies with &gt;80% promoter pledge and deteriorating business, shell companies</t>
  </si>
  <si>
    <t>LAYER 2 FACTOR ASSIGNMENT GUIDE BY SECTOR</t>
  </si>
  <si>
    <t>For each sector, the recommended Layer 2 qualitative factors and suggested weights are listed below. Industries within a sector may adjust weights ±5% based on their specific context, but the factor selection should remain consistent within a sector for comparability.</t>
  </si>
  <si>
    <t>Sector</t>
  </si>
  <si>
    <t>Factor 1 (wt)</t>
  </si>
  <si>
    <t>Factor 2 (wt)</t>
  </si>
  <si>
    <t>Factor 3 (wt)</t>
  </si>
  <si>
    <t>Factor 4 (wt)</t>
  </si>
  <si>
    <t>Factor 5 (wt)</t>
  </si>
  <si>
    <t>Factor 6 (wt)</t>
  </si>
  <si>
    <t>IP &amp; Innovation (0.20)</t>
  </si>
  <si>
    <t>Export Competitiveness (0.20)</t>
  </si>
  <si>
    <t>Supply Chain Resilience (0.20)</t>
  </si>
  <si>
    <t>Environmental Risk (0.15)</t>
  </si>
  <si>
    <t>Mgmt Quality (0.15)</t>
  </si>
  <si>
    <t>Market Runway (0.10)</t>
  </si>
  <si>
    <t>Distribution Moat (0.25)</t>
  </si>
  <si>
    <t>Scalability (0.20)</t>
  </si>
  <si>
    <t>Supply Chain (0.15)</t>
  </si>
  <si>
    <t>Supply Chain (0.25)</t>
  </si>
  <si>
    <t>Environmental Risk (0.20)</t>
  </si>
  <si>
    <t>Policy Dependency (0.20)</t>
  </si>
  <si>
    <t>Scalability (0.10)</t>
  </si>
  <si>
    <t>Talent (0.10)</t>
  </si>
  <si>
    <t>Environmental Risk (0.25)</t>
  </si>
  <si>
    <t>Supply Chain (0.20)</t>
  </si>
  <si>
    <t>Market Runway (0.15)</t>
  </si>
  <si>
    <t>Mgmt Quality (0.10)</t>
  </si>
  <si>
    <t>Brand &amp; Pricing Power (0.20)</t>
  </si>
  <si>
    <t>Export Competitiveness (0.15)</t>
  </si>
  <si>
    <t>Brand &amp; Pricing Power (0.25)</t>
  </si>
  <si>
    <t>Distribution Moat (0.20)</t>
  </si>
  <si>
    <t>Market Runway (0.20)</t>
  </si>
  <si>
    <t>Promoter Pedigree (0.10)</t>
  </si>
  <si>
    <t>Export Competitiveness (0.25)</t>
  </si>
  <si>
    <t>Talent (0.15)</t>
  </si>
  <si>
    <t>Brand &amp; Pricing Power (0.15)</t>
  </si>
  <si>
    <t>Media, Entertain. &amp; Pub.</t>
  </si>
  <si>
    <t>Scalability (0.25)</t>
  </si>
  <si>
    <t>Mgmt Quality (0.25)</t>
  </si>
  <si>
    <t>Regulatory Moat (0.15)</t>
  </si>
  <si>
    <t>Skin in the Game (0.15)</t>
  </si>
  <si>
    <t>Distribution Moat (0.15)</t>
  </si>
  <si>
    <t>FMCG</t>
  </si>
  <si>
    <t>Brand &amp; Pricing Power (0.30)</t>
  </si>
  <si>
    <t>Scalability (0.05)</t>
  </si>
  <si>
    <t>Regulatory Moat (0.25)</t>
  </si>
  <si>
    <t>Mgmt Quality (0.20)</t>
  </si>
  <si>
    <t>Scalability (0.15)</t>
  </si>
  <si>
    <t>Switching Costs (0.10)</t>
  </si>
  <si>
    <t>IP &amp; Innovation (0.25)</t>
  </si>
  <si>
    <t>Policy Dependency (0.25)</t>
  </si>
  <si>
    <t>Environmental Risk (0.10)</t>
  </si>
  <si>
    <t>Policy Dependency (0.15)</t>
  </si>
  <si>
    <t>Talent (0.20)</t>
  </si>
  <si>
    <t>Switching Costs (0.20)</t>
  </si>
  <si>
    <t>IP &amp; Innovation (0.15)</t>
  </si>
  <si>
    <t>Talent (0.25)</t>
  </si>
  <si>
    <t>Switching Costs (0.15)</t>
  </si>
  <si>
    <t>Supply Chain (0.10)</t>
  </si>
  <si>
    <t>Mgmt Quality (0.30)</t>
  </si>
  <si>
    <t>Skin in the Game (0.20)</t>
  </si>
  <si>
    <t>Promoter Pedigree (0.15)</t>
  </si>
  <si>
    <t>Brand &amp; Pricing Power (0.10)</t>
  </si>
  <si>
    <t>IMPLEMENTATION NOTES</t>
  </si>
  <si>
    <t>1. Scoring Frequency</t>
  </si>
  <si>
    <t>Re-score qualitative factors QUARTERLY (with results season). Layer 1 changes slowly (annual review usually sufficient). Layer 2 can shift faster (management change, regulatory event, competitive entry). Major events (RBI policy, budget, SEBI order) warrant immediate re-scoring of affected factors.</t>
  </si>
  <si>
    <t>2. Avoiding Recency Bias</t>
  </si>
  <si>
    <t>Score based on STRUCTURAL position, not last quarter's news. A single bad quarter doesn't change a company's moat. A single regulatory order doesn't change the sector's structural demand. Ask: 'Will this factor still matter in 3 years?' If yes, score it. If it's a one-off event, don't let it swing the score by more than 1 point.</t>
  </si>
  <si>
    <t>3. Cross-Sector Calibration</t>
  </si>
  <si>
    <t>A score of 7 in IT Services should reflect the SAME qualitative strength as a 7 in Banking. Calibrate across sectors by anchoring to the examples in the Score Interpretation bands above. If you score HDFC Bank's Management Quality as 9, and a mid-tier NBFC also at 9 — you've miscalibrated. Re-anchor.</t>
  </si>
  <si>
    <t>4. Quant-Qual Integration</t>
  </si>
  <si>
    <t>The Qualitative Composite Score (1–10) feeds into the final stock scoring model alongside the Quantitative Score. Recommended integration: Final Score = (Quantitative Score × 0.60) + (Qualitative Composite × 0.40). This gives 60% weight to hard numbers and 40% to qualitative judgment — appropriate for Indian markets where governance, regulatory, and structural factors often override financial metrics.</t>
  </si>
  <si>
    <t>5. Documentation Discipline</t>
  </si>
  <si>
    <t>For EVERY score you assign, write a 1–2 sentence justification. 'Regulatory Environment: 8 — SEBI's transparent framework, no adverse regulation in 3 years, MF SIP growth enabled by regulatory support.' This prevents score drift and enables audit trail when revisiting scores. Unjustified scores are worthless.</t>
  </si>
  <si>
    <t>Chemicals (5 industries)</t>
  </si>
  <si>
    <t>Sector Fundamental</t>
  </si>
  <si>
    <t>Ideal</t>
  </si>
  <si>
    <t>Commodity Chemicals</t>
  </si>
  <si>
    <t>Revenue Growth</t>
  </si>
  <si>
    <t>12–18% YoY</t>
  </si>
  <si>
    <t>India's specialty chemicals market growing 12-15% (China+1 tailwind). Companies with 12-18% growth are gaining export share. SRF, PI Industries, Navin Fluorine lead.</t>
  </si>
  <si>
    <t>Specialty Chemicals</t>
  </si>
  <si>
    <t>EBITDA Margin</t>
  </si>
  <si>
    <t>≥20% (specialty); ≥14% (commodity)</t>
  </si>
  <si>
    <t>Specialty chemicals earn 20-30% EBITDA (proprietary processes, custom synthesis). Commodity chemicals earn 10-14%. Product complexity determines margin sustainability.</t>
  </si>
  <si>
    <t>Petrochemicals</t>
  </si>
  <si>
    <t>R&amp;D / Process Innovation</t>
  </si>
  <si>
    <t>R&amp;D &gt;3% of revenue</t>
  </si>
  <si>
    <t>Process chemistry and proprietary manufacturing routes are the moat. R&amp;D &gt;3% sustains innovation. PI Industries, SRF have strong proprietary chemistry capabilities.</t>
  </si>
  <si>
    <t>Agrochemicals &amp; Fertilizers</t>
  </si>
  <si>
    <t>Export Revenue</t>
  </si>
  <si>
    <t>≥40% of revenue</t>
  </si>
  <si>
    <t>Indian specialty chemicals benefit from China+1 sourcing. &gt;40% exports = global competitiveness validation. PI Industries &gt;70% export, Navin Fluorine ~55%.</t>
  </si>
  <si>
    <t>Carbon Black &amp; Dyes</t>
  </si>
  <si>
    <t>≥18%</t>
  </si>
  <si>
    <t>Chemical manufacturing requires significant capex (reactors, utilities, effluent treatment). ROCE &gt;18% is strong. SRF ~20%, PI ~25%. &lt;12% = over-expanded or commodity-trapped.</t>
  </si>
  <si>
    <t>Environmental Compliance</t>
  </si>
  <si>
    <t>Zero Discharge (ZLD); all CPCB norms met</t>
  </si>
  <si>
    <t>Chemical plants face regulatory shutdowns for pollution. ZLD systems and clean compliance records are essential for operational continuity. CPCB/SPCB orders can halt production.</t>
  </si>
  <si>
    <t>Feedstock Cost Sensitivity</t>
  </si>
  <si>
    <t>Crude-linked RM &lt;40% of COGS</t>
  </si>
  <si>
    <t>Specialty/commodity chemicals use crude-derived feedstocks (BTX, naphtha, ethylene). Crude oil price swings directly impact RM cost. Companies with backward integration or pass-through contracts are better insulated.</t>
  </si>
  <si>
    <t>Capacity Expansion</t>
  </si>
  <si>
    <t>≥30% addition over 3 years</t>
  </si>
  <si>
    <t>Export demand is growing faster than India's capacity. Companies with 30%+ expansion plans can capture share. Brownfield expansion (lower cost) preferred over greenfield.</t>
  </si>
  <si>
    <t>Per Capita Consumption</t>
  </si>
  <si>
    <t>Rising trend</t>
  </si>
  <si>
    <t>India's per-capita chemical consumption is 1/10th of developed markets. Large distribution reach and rising domestic consumption are structural tailwinds for volume growth.</t>
  </si>
  <si>
    <t>1. Commodity Chemicals</t>
  </si>
  <si>
    <t>10–15% YoY</t>
  </si>
  <si>
    <t>Commodity chemicals (soda ash, caustic soda, chlor-alkali, industrial gases) grow with GDP and industrial activity. India capacity expanding in soda ash (Tata Chemicals), chlor-alkali (Grasim). 10-15% growth captures both volume and price improvement.</t>
  </si>
  <si>
    <t>≥14%</t>
  </si>
  <si>
    <t>Commodity chemicals are cyclical with margins linked to demand-supply balance. Trough margins ~10-12%, peak 18-22%. Through-cycle average &gt;14% indicates cost leadership or integrated operations. Grasim (chlor-alkali) ~18-20%.</t>
  </si>
  <si>
    <t>Capacity Utilization</t>
  </si>
  <si>
    <t>≥80%</t>
  </si>
  <si>
    <t>Commodity chemical plants have high fixed costs. Utilization &gt;80% ensures cost absorption and profitability. Industry-wide utilization below 75% triggers price wars. Companies with captive demand (downstream integration) maintain higher utilization.</t>
  </si>
  <si>
    <t>Cost Position (Energy &amp; Feedstock)</t>
  </si>
  <si>
    <t>Bottom quartile of cost curve</t>
  </si>
  <si>
    <t>Energy is 30-40% of production cost for chlor-alkali, soda ash. Companies with captive power (coal/solar), gas access, and proximity to raw materials have structural cost advantages. Deepak Nitrite, NOCIL face crude-linked RM exposure.</t>
  </si>
  <si>
    <t>≥15%</t>
  </si>
  <si>
    <t>Commodity chemicals are capital-intensive. ROCE &gt;15% across the cycle indicates cost leadership. Grasim chlor-alkali ~18%. Below 12% at cycle peak means the asset is structurally uncompetitive.</t>
  </si>
  <si>
    <t>Backward Integration</t>
  </si>
  <si>
    <t>Key RM captive or long-term contracted</t>
  </si>
  <si>
    <t>Integrated producers (raw material → intermediate → finished chemical) capture more margin and are insulated from RM price volatility. Tata Chemicals' trona-based soda ash has natural cost advantage over synthetic soda ash producers.</t>
  </si>
  <si>
    <t>2. Specialty Chemicals</t>
  </si>
  <si>
    <t>15–25% YoY</t>
  </si>
  <si>
    <t>India's specialty chemicals market is $35B+, growing 15-18% on China+1 tailwinds. PI Industries, SRF, Navin Fluorine, Aarti Industries lead. Growth above 18% signals market share gains in global CRAMS/CSM contracts.</t>
  </si>
  <si>
    <t>≥20%</t>
  </si>
  <si>
    <t>Specialty chemicals earn 20-30% EBITDA due to proprietary processes and customer stickiness. PI Industries ~28%, SRF ~22%. Below 18% suggests the product portfolio is commoditizing or competition is intensifying.</t>
  </si>
  <si>
    <t>R&amp;D Spend &amp; Innovation Pipeline</t>
  </si>
  <si>
    <t>R&amp;D &gt;4% of revenue; ≥5 new molecules in pipeline</t>
  </si>
  <si>
    <t>Process chemistry innovation is the moat. R&amp;D creates proprietary synthesis routes that competitors cannot easily replicate. PI Industries' CRAMS pipeline has 40+ molecules under development. Companies with &lt;2% R&amp;D spend risk commoditization within 5 years.</t>
  </si>
  <si>
    <t>Export Mix &amp; CRAMS Revenue</t>
  </si>
  <si>
    <t>Exports ≥50%; CRAMS ≥30% of revenue</t>
  </si>
  <si>
    <t>CRAMS (Custom Research and Manufacturing Services) for global innovators is the highest-quality revenue — long-term contracts, IP protection, sticky relationships. PI Industries derives &gt;70% from CRAMS exports. Higher CRAMS share = defensible moat.</t>
  </si>
  <si>
    <t>Specialty chemical capex is significant (multi-purpose reactors, clean rooms, effluent treatment). ROCE &gt;20% validates that the IP-driven model generates adequate returns. SRF ~22%, PI ~25%. &lt;15% means capex cycles are diluting returns.</t>
  </si>
  <si>
    <t>Customer Concentration</t>
  </si>
  <si>
    <t>Top 5 clients &lt;35% of revenue</t>
  </si>
  <si>
    <t>CRAMS businesses often start with concentrated customer bases. Diversification across 10+ global innovators reduces single-client dependency. Loss of a top 3 client can create 10-15% revenue cliff.</t>
  </si>
  <si>
    <t>Environmental &amp; Safety Track Record</t>
  </si>
  <si>
    <t>Zero major incidents; ZLD operational</t>
  </si>
  <si>
    <t>Global innovators conduct rigorous ESG audits of Indian contract manufacturers. A single environmental or safety incident can lead to contract termination. Companies with ZLD, ISO 14001, and Responsible Care certification access premium contracts.</t>
  </si>
  <si>
    <t>3. Petrochemicals</t>
  </si>
  <si>
    <t>Polymer/Product Spread</t>
  </si>
  <si>
    <t>PE/PP spread &gt;$300/ton over naphtha</t>
  </si>
  <si>
    <t>Petrochemicals profitability is driven by the spread between product price and feedstock cost. PE/PP spreads of $300-500/ton are healthy. RIL's O2C (oil-to-chemicals) segment tracks these spreads. Spread compression below $200 signals overcapacity cycles.</t>
  </si>
  <si>
    <t>≥85%</t>
  </si>
  <si>
    <t>Petrochemical crackers are capital-intensive ($3-5B for a new ethylene cracker). High utilization (&gt;85%) is essential for cost absorption. Indian utilization averages 85-90%. Shutdowns for maintenance (every 3-5 years) temporarily depress utilization.</t>
  </si>
  <si>
    <t>Integration Level</t>
  </si>
  <si>
    <t>Refinery-integrated; ≥3 downstream products</t>
  </si>
  <si>
    <t>Integrated complexes (refinery → cracker → polymer → downstream) capture more margin at each stage. RIL Jamnagar is the world's largest integrated refinery-petrochemical complex. Non-integrated players buying naphtha/ethylene face feedstock price volatility.</t>
  </si>
  <si>
    <t>≥10% YoY</t>
  </si>
  <si>
    <t>India imports 30-40% of its polymer demand. Domestic capacity additions (RIL, IOCL Paradip, HPCL Rajasthan) are import substitution opportunities. Revenue growth tracks volume expansion more than pricing in this cyclical sector.</t>
  </si>
  <si>
    <t>Debt/EBITDA</t>
  </si>
  <si>
    <t>&lt;2.0x</t>
  </si>
  <si>
    <t>Petrochemical expansion capex is massive. Debt/EBITDA &lt;2.0x ensures the company can service debt through cyclical troughs. RIL has deleveraged significantly post-Jio/retail monetization. GAIL's petrochemical segment operates with minimal standalone debt.</t>
  </si>
  <si>
    <t>≥12%</t>
  </si>
  <si>
    <t>Given massive capital employed, ROCE &gt;12% across the cycle is adequate for petrochemicals. Cyclical peak ROCE can reach 20%+. Companies consistently below 10% are destroying value — the capital would earn more invested elsewhere.</t>
  </si>
  <si>
    <t>4. Agrochemicals &amp; Fertilizers</t>
  </si>
  <si>
    <t>Revenue Mix (Branded vs Generic)</t>
  </si>
  <si>
    <t>Branded &gt;40%; Export &gt;30%</t>
  </si>
  <si>
    <t>Branded agrochemicals command 20-30% premium over generics. Companies with strong branded portfolios and export CRAMS pipelines earn higher and more stable margins. Domestic-vs-export split determines monsoon dependency.</t>
  </si>
  <si>
    <t>≥18% (agrochemicals); ≥12% (fertilizers)</t>
  </si>
  <si>
    <t>Specialty agrochemicals and CRAMS earn 20-25% EBITDA margins. Fertilizers operate on thin, government-regulated margins of 8-14% (subsidy-dependent). Crude-linked intermediates create RM volatility.</t>
  </si>
  <si>
    <t>R&amp;D &amp; New Product Pipeline</t>
  </si>
  <si>
    <t>≥5 new registrations/year; R&amp;D &gt;3%</t>
  </si>
  <si>
    <t>Agrochemical product lifecycles are 10-15 years. Continuous new molecule development is essential. PI Industries' CRAMS pipeline is its primary growth driver. Companies with strong R&amp;D have multi-year growth visibility.</t>
  </si>
  <si>
    <t>Subsidy Receivables &amp; Working Capital</t>
  </si>
  <si>
    <t>Subsidy receivables &lt;60 days; NWC &lt;100 days</t>
  </si>
  <si>
    <t>Fertilizer companies carry massive government subsidy receivables (₹3,000-8,000 Cr). Delays create working capital strain and interest costs. DBT adoption is gradually improving cycles but unevenly implemented.</t>
  </si>
  <si>
    <t>Distribution Network</t>
  </si>
  <si>
    <t>&gt;10,000 dealers</t>
  </si>
  <si>
    <t>India has 120,000+ agrochemical dealers. Distribution depth determines market access. Companies with 50,000+ touchpoints have structural advantages. Strong last-mile reach in rural markets is a moat built over decades.</t>
  </si>
  <si>
    <t>Capital efficiency varies widely. PI Industries ROCE ~22-25% (CRAMS + branded). Fertilizer companies struggle to earn above 10-12% due to regulated pricing and capital-intensive plants. Subsidy receivables inflate capital employed.</t>
  </si>
  <si>
    <t>Regulatory Compliance</t>
  </si>
  <si>
    <t>Zero product bans; multi-market registrations</t>
  </si>
  <si>
    <t>CIB registration is mandatory in India. Global registrations (US EPA, EU) take 3-5 years. Product bans can eliminate revenue overnight — India banned 27 pesticides in 2020. Companies with diversified portfolios are better insulated.</t>
  </si>
  <si>
    <t>5. Carbon Black &amp; Dyes</t>
  </si>
  <si>
    <t>Carbon black demand tracks tire and rubber production (65% of end use). India's auto production growth + replacement tire demand drive 8-12% volume growth. Specialty carbon black (inks, plastics) grows faster at 12-15%.</t>
  </si>
  <si>
    <t>Carbon Black Oil (CBFS) Cost</t>
  </si>
  <si>
    <t>CBFS cost pass-through with &lt;30 day lag</t>
  </si>
  <si>
    <t>Carbon black feedstock (CBFS) is a crude-oil derivative comprising 50-60% of production cost. Price pass-through mechanisms with tire OEMs (quarterly contracts) are critical. Companies like Phillips Carbon Black Ltd with rapid pass-through protect margins during crude volatility.</t>
  </si>
  <si>
    <t>Carbon black earns 10-15% EBITDA margins at steady state. Specialty grades (conductive, high-structure) earn 15-20%. Dyes &amp; pigments earn 14-22% depending on product complexity. Through-cycle margins matter more than peak.</t>
  </si>
  <si>
    <t>Carbon black plants have high fixed costs and continuous process operations. &gt;80% utilization is essential for cost absorption. India's installed capacity is ~2.2 MTPA with utilization at 75-85%. Capacity additions by PCBL are expanding Indian market.</t>
  </si>
  <si>
    <t>Export Share</t>
  </si>
  <si>
    <t>≥30%</t>
  </si>
  <si>
    <t>Indian carbon black and dye producers benefit from cost arbitrage vs. China (environmental compliance costs). PCBL exports ~25-30%. Dye exporters (Atul, Bodal) supply 15-20% of global reactive/vat dye demand.</t>
  </si>
  <si>
    <t>Carbon black and dyes are moderately capital-intensive. ROCE &gt;15% indicates pricing discipline and cost efficiency. PCBL ~15-18%. Dye companies like Atul achieve higher ROCE (~20%) due to diversified specialty portfolio.</t>
  </si>
  <si>
    <t>Construction Materials (2 industries)</t>
  </si>
  <si>
    <t>Cement &amp; Cement Products</t>
  </si>
  <si>
    <t>Volume Growth</t>
  </si>
  <si>
    <t>8–12% YoY</t>
  </si>
  <si>
    <t>India produces ~400 MTPA cement (world’s 2nd largest). Construction materials demand is directly linked to housing, infrastructure, and urbanization. Companies growing volumes 8-12%+ are gaining market share.</t>
  </si>
  <si>
    <t>Other Construction Materials</t>
  </si>
  <si>
    <t>EBITDA per Unit</t>
  </si>
  <si>
    <t>≥₹1,200/ton (cement); ≥15% margin (others)</t>
  </si>
  <si>
    <t>Unit profitability metric normalizing for scale. Cement leaders earn ₹1,200-1,500/ton. Other construction materials (tiles, pipes, sanitaryware) target 15-20% EBITDA margins. Below thresholds signals cost inefficiency or pricing pressure.</t>
  </si>
  <si>
    <t>Cost Efficiency</t>
  </si>
  <si>
    <t>&lt;₹4,500/ton (cement); raw material &lt;55% of revenue</t>
  </si>
  <si>
    <t>Energy costs (35-40% for cement), logistics (25-30%), and raw materials drive construction material costs. Efficient producers minimize pet coke/coal dependency through WHR and proximity to raw material sources.</t>
  </si>
  <si>
    <t>75–85%</t>
  </si>
  <si>
    <t>Construction materials have high operating leverage. 75-85% utilization is the sweet spot for cost absorption without supply glut. &gt;85% gives pricing power. Industry averages ~70% for cement.</t>
  </si>
  <si>
    <t>Market Share / Distribution</t>
  </si>
  <si>
    <t>Top 5 in region; dealer network &gt;5,000</t>
  </si>
  <si>
    <t>Construction materials are regional businesses due to high freight costs. Regional market share and dealer/distribution network depth determine pricing power and volume consistency.</t>
  </si>
  <si>
    <t>&lt;1.5x</t>
  </si>
  <si>
    <t>Cyclical sector needs balance sheet strength. Debt/EBITDA &lt;1.5x ensures companies can invest through downturns. Cement consolidation wave (Adani/Ambuja acquisition) shows deleveraging is key post-M&amp;A.</t>
  </si>
  <si>
    <t>Construction materials are capital-intensive (₹800-1,000 Cr per MTPA for cement). ROCE &gt;15% justifies ongoing capex. Shree Cement ~20%, UltraTech ~14%. &lt;12% means capacity isn’t earning its cost of capital.</t>
  </si>
  <si>
    <t>1. Cement &amp; Cement Products</t>
  </si>
  <si>
    <t>India produces ~400 MTPA cement (world’s 2nd largest). Industry grows 8-10%. Companies at 12%+ are gaining market share via capacity addition or geographic expansion.</t>
  </si>
  <si>
    <t>EBITDA per Ton</t>
  </si>
  <si>
    <t>≥₹1,200/ton</t>
  </si>
  <si>
    <t>Unit profitability metric normalizing for scale. UltraTech ~₹1,200-1,400, Shree Cement ~₹1,500. &lt;₹900/ton signals cost inefficiency or poor pricing in the region.</t>
  </si>
  <si>
    <t>Cost per Ton</t>
  </si>
  <si>
    <t>&lt;₹4,500/ton</t>
  </si>
  <si>
    <t>Energy (35-40% of cost), logistics (25-30%), and raw materials drive costs. Pet coke (crude-linked) is primary fuel — crude price swings directly impact costs. Companies with high WHR share (Shree Cement ~50%) and proximity to mines are better insulated.</t>
  </si>
  <si>
    <t>Cement has high operating leverage. 75-85% utilization is the sweet spot (cost absorption without supply glut). Industry at ~70%. &gt;85% = pricing power.</t>
  </si>
  <si>
    <t>Logistics / Blending Mix</t>
  </si>
  <si>
    <t>Blended cement ≥70%; avg lead distance &lt;300 km</t>
  </si>
  <si>
    <t>Blended cement (PPC, PSC) uses less clinker = lower energy cost. Shorter lead distance = lower freight cost. Both directly impact per-ton profitability.</t>
  </si>
  <si>
    <t>Cement is cyclical. Low leverage (&lt;1.5x) ensures survival during downcycles. UltraTech ~1x. &gt;2.5x strains during price wars. Adani/Ambuja deleveraging after acquisition.</t>
  </si>
  <si>
    <t>Cement is capital-intensive (₹800-1,000 Cr per MTPA). ROCE &gt;15% is strong. Shree Cement ~20%, UltraTech ~14%. &lt;12% means capacity isn’t earning its keep.</t>
  </si>
  <si>
    <t>2. Other Construction Materials</t>
  </si>
  <si>
    <t>≥15% YoY</t>
  </si>
  <si>
    <t>Other construction materials include ready-mix concrete, aggregates, AAC blocks, fly ash bricks, waterproofing products, and construction chemicals. India’s infrastructure push (smart cities, affordable housing, highways) drives 15%+ growth for organized players displacing unorganized market.</t>
  </si>
  <si>
    <t>Construction chemicals (Pidilite, STP) earn 18-25% margins due to brand and formulation IP. Commodity materials (aggregates, sand, bricks) earn 8-12%. Product differentiation through brand, quality certification, and technical specifications drives margin premium.</t>
  </si>
  <si>
    <t>&gt;5,000 dealers; direct institutional sales &gt;30%</t>
  </si>
  <si>
    <t>Construction materials are distributed through dealer networks (retail) and direct institutional sales (builders, contractors, government projects). Wide distribution reach ensures consistent demand. Institutional sales are lumpy but higher volume.</t>
  </si>
  <si>
    <t>Product Innovation / Mix</t>
  </si>
  <si>
    <t>Value-added products &gt;40% of revenue</t>
  </si>
  <si>
    <t>Commodity construction materials face price competition. Companies with proprietary formulations, green products (low-carbon cement substitutes, recycled aggregates), and specialized solutions command premium pricing and higher margins. Value-added mix expansion is the margin improvement lever.</t>
  </si>
  <si>
    <t>Working Capital Efficiency</t>
  </si>
  <si>
    <t>NWC days &lt;60</t>
  </si>
  <si>
    <t>Construction materials involve dealer credit, inventory cycles, and project-linked receivables. NWC &lt;60 days is efficient. Government project receivables can stretch to 90-120 days, straining cash flow for companies with high institutional sales.</t>
  </si>
  <si>
    <t>Construction materials manufacturing is moderately capital-intensive. Companies with brand advantage (Pidilite, Astral) achieve 20-30% ROCE. Commodity producers earn 12-15%. ROCE below 12% signals undifferentiated product positioning.</t>
  </si>
  <si>
    <t>Metals &amp; Mining (6 industries)</t>
  </si>
  <si>
    <t>why it matters</t>
  </si>
  <si>
    <t>Iron &amp; Steel</t>
  </si>
  <si>
    <t>EBITDA / Ton</t>
  </si>
  <si>
    <t>≥₹10,000/ton (steel)</t>
  </si>
  <si>
    <t>EBITDA per ton strips out volume noise and shows true per-unit profitability. Indian steel cos. benchmark ₹8,000-12,000/ton; top quartile &gt;12,000. Low EBITDA/ton = cost-curve vulnerability.</t>
  </si>
  <si>
    <t>Aluminium</t>
  </si>
  <si>
    <t>Cost of Production</t>
  </si>
  <si>
    <t>1st or 2nd quartile globally</t>
  </si>
  <si>
    <t>Cost position on the global curve determines survival in downturns. 1st/2nd quartile producers (Tata Steel, JSPL at lower end) survive even at cycle troughs.</t>
  </si>
  <si>
    <t>Copper</t>
  </si>
  <si>
    <t>Global Commodity Price</t>
  </si>
  <si>
    <t>Above long-term average</t>
  </si>
  <si>
    <t>Metals are price-takers — LME/CRU prices determine revenue ceiling. When commodity prices are above long-term average, margins expand; below average, only low-cost producers survive.</t>
  </si>
  <si>
    <t>Mining</t>
  </si>
  <si>
    <t>Debt</t>
  </si>
  <si>
    <t>Debt/EBITDA &lt;2.0x</t>
  </si>
  <si>
    <t>Highly cyclical sector — leverage kills in downturns. Debt/EBITDA &lt;2.0x ensures solvency through commodity troughs. Indian steel deleveraged from 5x+ to &lt;2x post-2020.</t>
  </si>
  <si>
    <t>Metal Products</t>
  </si>
  <si>
    <t>CFO/EBITDA ≥70%</t>
  </si>
  <si>
    <t>Cash flow confirms EBITDA is real and not stuck in inventory/receivables. CFO/EBITDA &gt;70% is healthy; &lt;50% signals working capital bloat from stockpiling.</t>
  </si>
  <si>
    <t>Iron Ore / Mining</t>
  </si>
  <si>
    <t>10–20% capacity add over 3 yrs</t>
  </si>
  <si>
    <t>Volume growth drives value in a commodity business. India's steel capacity target is 300 MTPA by 2030 (from ~165 MTPA). Companies expanding 10-20% over 3 years participate in this growth.</t>
  </si>
  <si>
    <t>Zinc &amp; Lead</t>
  </si>
  <si>
    <t>ROCE in metals is volatile (5-25% across cycles). Through-cycle ROCE &gt;12% means the company creates value above its cost of capital even in downturns.</t>
  </si>
  <si>
    <t>Precious Metals (Gold/Silver)</t>
  </si>
  <si>
    <t>Energy &amp; Fuel Cost Sensitivity</t>
  </si>
  <si>
    <t>Energy cost &lt;35% of CoP (steel); &lt;40% (aluminium)</t>
  </si>
  <si>
    <t>Energy (power, coking coal, fuel oil, natural gas) is 25-40% of metals production cost. Aluminium smelting alone uses 14,000-16,000 kWh per ton — power cost dominates. Steel needs coking coal ($200-400/ton, linked to crude/energy complex). Rising crude/gas prices flow through to higher power tariffs, fuel oil for kilns, and transport costs. This metric captures the true crude/gas exposure of metals companies — unlike GRM which is refining-specific. Companies with captive power (Hindalco, Vedanta) or long-term fuel linkages are better insulated.</t>
  </si>
  <si>
    <t>Rare Earths &amp; Specialty Minerals</t>
  </si>
  <si>
    <t>1. Steel</t>
  </si>
  <si>
    <t>≥₹12,000/ton</t>
  </si>
  <si>
    <t>Unit profitability metric. Tata Steel ₹12-15K/ton, JSW ~₹10-13K. &lt;₹8,000/ton signals cost disadvantage. Integrated producers (own iron ore) have ₹3-5K/ton cost edge.</t>
  </si>
  <si>
    <t>Cost of Production per Ton</t>
  </si>
  <si>
    <t>&lt;₹35,000/ton (India integrated)</t>
  </si>
  <si>
    <t>Cost = iron ore + coking coal + conversion. Integrated producers (Tata, JSPL with captive mines) at ₹30-35K/ton. Non-integrated at ₹40-45K/ton. Cost position = survival metric.</t>
  </si>
  <si>
    <t>Steel has massive fixed costs. &gt;85% utilization = healthy cost absorption. India industry at ~80%. &gt;90% triggers expansion cycle and pricing power.</t>
  </si>
  <si>
    <t>&lt;2.5x</t>
  </si>
  <si>
    <t>Steel is cyclical. Debt/EBITDA &lt;2.5x ensures survival through downturns. Tata Steel ~1.5x (post-Europe), JSW ~1.8x. &gt;3.5x = distress risk in downcycles.</t>
  </si>
  <si>
    <t>Value-Added Product Mix</t>
  </si>
  <si>
    <t>&gt;40% of sales</t>
  </si>
  <si>
    <t>Value-added steel (auto-grade, galvanized, electrical, coated) earns ₹5-15K/ton premium over commodity HR coils. Higher mix = margin stability through cycles.</t>
  </si>
  <si>
    <t>Steel is among the most capital-intensive industries (₹5-7 Cr per ton of capacity). ROCE &gt;12% through-cycle is strong. JSW ~14%, Tata ~12%.</t>
  </si>
  <si>
    <t>2. Aluminium</t>
  </si>
  <si>
    <t>&lt;$1,800/ton (globally competitive)</t>
  </si>
  <si>
    <t>Aluminium is an energy-intensive metal (35-40% cost is power). India’s Hindalco/Vedanta at $1,600-1,900/ton. Position on global cost curve determines profitability.</t>
  </si>
  <si>
    <t>LME Realization</t>
  </si>
  <si>
    <t>LME + premium &gt;$2,300/ton</t>
  </si>
  <si>
    <t>Revenue = LME price + regional premium. LME $2,200-2,600 range (2024). Companies selling at LME + $100-200 premium through quality and product mix.</t>
  </si>
  <si>
    <t>Captive Power / Energy Mix</t>
  </si>
  <si>
    <t>≥80% captive; increasing renewables</t>
  </si>
  <si>
    <t>Captive coal power at ₹3-4/unit vs. grid at ₹6-8/unit. &gt;80% captive = massive cost advantage. Hindalco &gt;90% captive. Renewable shift reduces ESG risk.</t>
  </si>
  <si>
    <t>&gt;30% (flat-rolled, extrusions)</t>
  </si>
  <si>
    <t>Flat-rolled products (auto, packaging, building) earn $300-500/ton premium over ingots. Hindalco’s Novelis (~60% of revenue) is the world’s largest aluminium rolling company.</t>
  </si>
  <si>
    <t>≥$400/ton</t>
  </si>
  <si>
    <t>Unit EBITDA at LME $2,300 = $400-600/ton for Indian smelters (low-cost power advantage). &lt;$300/ton signals cost issues or LME downturn.</t>
  </si>
  <si>
    <t>≥10%</t>
  </si>
  <si>
    <t>Aluminium smelting is extremely capital-intensive (₹20-25 Cr per ton of capacity). ROCE &gt;10% through-cycle is acceptable. Hindalco ~12% including Novelis.</t>
  </si>
  <si>
    <t>3. Copper</t>
  </si>
  <si>
    <t>Treatment &amp; Refining Charges (TC/RC)</t>
  </si>
  <si>
    <t>TC ≥$50/ton; RC ≥5c/lb</t>
  </si>
  <si>
    <t>Custom smelters (Hindalco’s Birla Copper) earn TC/RC from miners for processing concentrate. Higher TC/RC = better smelter profitability. Market rates fluctuate with concentrate supply.</t>
  </si>
  <si>
    <t>≥90%</t>
  </si>
  <si>
    <t>Copper smelting is continuous-process. &gt;90% utilization = efficient operations. Hindalco Birla Copper at ~95%. &lt;80% means unplanned shutdowns or raw material sourcing issues.</t>
  </si>
  <si>
    <t>Value-Added Copper Products %</t>
  </si>
  <si>
    <t>&gt;25% (rods, tubes, strips)</t>
  </si>
  <si>
    <t>Copper cathode is commodity; value-added products (rods for cables, tubes for AC, strips for electronics) earn $200-400/ton premium. Higher VA mix = better margins.</t>
  </si>
  <si>
    <t>Sulphuric Acid Realization</t>
  </si>
  <si>
    <t>&gt;$80/ton</t>
  </si>
  <si>
    <t>Copper smelting produces sulphuric acid as byproduct (1.5 tons per ton of copper). At $80-120/ton, acid contributes 15-20% of smelter revenue. Key profitability swing factor.</t>
  </si>
  <si>
    <t>Copper smelting is capital-intensive but less so than aluminium. ROCE &gt;12% signals efficient operations. India’s copper capacity constrained post-Sterlite Tuticorin closure.</t>
  </si>
  <si>
    <t>4. Zinc</t>
  </si>
  <si>
    <t>&lt;$1,100/ton (1st quartile globally)</t>
  </si>
  <si>
    <t>Hindustan Zinc is among the world’s lowest-cost zinc producers (~$1,000-1,100/ton). 1st quartile cost position ensures profitability across LME cycles.</t>
  </si>
  <si>
    <t>LME &gt;$2,500/ton</t>
  </si>
  <si>
    <t>Zinc LME price drives revenue directly. At $2,500/ton, Hindustan Zinc’s EBITDA margin exceeds 50%. Below $2,000 = margin compression but still profitable at 1st quartile cost.</t>
  </si>
  <si>
    <t>Silver Byproduct Credits</t>
  </si>
  <si>
    <t>&gt;15% of revenue from silver</t>
  </si>
  <si>
    <t>Hindustan Zinc produces ~700 tons silver/yr as byproduct. Silver revenue provides natural hedge against zinc price volatility. Higher silver prices = bonus margin.</t>
  </si>
  <si>
    <t>Ore Reserve Life</t>
  </si>
  <si>
    <t>&gt;15 years at current production</t>
  </si>
  <si>
    <t>Mined ore reserves determine mine life. &gt;15 years ensures long-term production visibility. Hindustan Zinc has ~25+ years reserve life in Rajasthan operations.</t>
  </si>
  <si>
    <t>≥45%</t>
  </si>
  <si>
    <t>Integrated zinc miners (mine-to-metal) enjoy 45-55% EBITDA margins due to low cost position. Hindustan Zinc ~50%. &lt;40% signals cost escalation or LME downturn.</t>
  </si>
  <si>
    <t>≥25%</t>
  </si>
  <si>
    <t>Zinc mining is capital-moderate (underground mines). Hindustan Zinc ROCE &gt;30% due to integrated operations and low cost. Among the highest ROCE in Indian metals.</t>
  </si>
  <si>
    <t>5. Gold &amp; Precious Metals</t>
  </si>
  <si>
    <t>All-In Sustaining Cost (AISC)</t>
  </si>
  <si>
    <t>&lt;$1,200/oz</t>
  </si>
  <si>
    <t>AISC includes mining, processing, overhead, and sustaining capex. &lt;$1,200/oz is globally competitive. India has limited gold mining (MOIL, Deccan Gold); mainly jewellery.</t>
  </si>
  <si>
    <t>Gold Price Sensitivity</t>
  </si>
  <si>
    <t>High positive correlation to gold prices</t>
  </si>
  <si>
    <t>Gold miners’ profits leverage gold prices. At $2,000/oz with $1,200 AISC = $800/oz margin. For jewellery companies, gold price drives inventory gains/losses and consumer sentiment.</t>
  </si>
  <si>
    <t>≥12% YoY</t>
  </si>
  <si>
    <t>For jewellery cos (Titan, Kalyan), revenue growth reflects store expansion + same-store growth. India’s jewellery market ~$75B shifting from unorganized to organized retail.</t>
  </si>
  <si>
    <t>Store Network / Expansion</t>
  </si>
  <si>
    <t>&gt;10% store growth YoY</t>
  </si>
  <si>
    <t>Organized jewellery retail is under-penetrated (~35% market share). Titan (Tanishq) adding 40-50 stores/yr. Network expansion captures shift from local jewellers.</t>
  </si>
  <si>
    <t>≥8% (jewellery retail); ≥40% (mining)</t>
  </si>
  <si>
    <t>Jewellery retail runs on thin margins (7-10%) but high asset turns. Mining margins are high (40-55%) but India has minimal gold mining. Business model determines margin profile.</t>
  </si>
  <si>
    <t>≥20% (retail); ≥12% (mining)</t>
  </si>
  <si>
    <t>Titan’s ROCE ~25% despite thin margins (high asset turnover). Mining ROCE depends on grade and cost position. Efficient operators make it work at both ends.</t>
  </si>
  <si>
    <t>6. Iron Ore / Mining</t>
  </si>
  <si>
    <t>&lt;$30/ton (ex-mine)</t>
  </si>
  <si>
    <t>Indian iron ore mining costs $15-30/ton ex-mine. NMDC ~$20/ton. Cost position determines profitability across commodity cycles. &lt;$30 = profitable even at $80/ton iron ore.</t>
  </si>
  <si>
    <t>Ore Quality (Fe Content)</t>
  </si>
  <si>
    <t>Fe ≥62%</t>
  </si>
  <si>
    <t>Higher Fe content = premium pricing and preferred by steelmakers. 62% Fe is the benchmark grade. &lt;58% Fe gets discount of $10-20/ton and faces demand issues.</t>
  </si>
  <si>
    <t>Production Growth</t>
  </si>
  <si>
    <t>≥8% YoY</t>
  </si>
  <si>
    <t>India produces ~260 MT iron ore/yr (NMDC ~35 MT). Domestic steel expansion needs more ore. Companies growing production &gt;8% capture this structural demand.</t>
  </si>
  <si>
    <t>Mine Lease Remaining Life</t>
  </si>
  <si>
    <t>&gt;15 years</t>
  </si>
  <si>
    <t>Mining leases in India are 50-year concessions (post-2015 auction). &gt;15 years remaining ensures long-term production visibility. Lease expiry = production cliff risk.</t>
  </si>
  <si>
    <t>Logistics &amp; Evacuation</t>
  </si>
  <si>
    <t>Rail-linked with slurry pipeline</t>
  </si>
  <si>
    <t>Ore evacuation from mine to port/steelworks determines delivered cost. Rail-linked mines save ₹500-1000/ton vs. road. Slurry pipelines (NMDC) are even cheaper.</t>
  </si>
  <si>
    <t>Mining is capital-intensive (equipment, infrastructure) but high-margin. NMDC ROCE ~18-22%. Captive mines within steel companies contribute to integrated ROCE.</t>
  </si>
  <si>
    <t>7. Zinc &amp; Lead</t>
  </si>
  <si>
    <t>Ideal / Benchmark</t>
  </si>
  <si>
    <t>Why It Matters</t>
  </si>
  <si>
    <t>LME Zinc Price Realization</t>
  </si>
  <si>
    <t>Realization within 5% of LME benchmark; hedging on 20-40% of production</t>
  </si>
  <si>
    <t>Zinc prices are LME-determined and highly cyclical ($2,000-4,000/ton range). Hindustan Zinc (India's monopoly zinc producer, Vedanta subsidiary) realizes LME price minus treatment charges. Price realization as % of LME benchmark indicates commercial efficiency. Hedging 20-40% of forward production provides downside protection without sacrificing upside. Zinc demand is driven by galvanizing (60% of use — corrosion protection for steel), die-casting, and batteries.</t>
  </si>
  <si>
    <t>Cost of Production (CoP) &amp; Quartile Position</t>
  </si>
  <si>
    <t>CoP in global bottom quartile (&lt;$1,000/ton); declining trend</t>
  </si>
  <si>
    <t>Hindustan Zinc is among the world's lowest-cost zinc producers at ~$1,000-1,100/ton (all-in sustaining cost). Low CoP position means the company remains profitable even at cycle troughs. CoP includes mining cost (underground vs open-pit), smelting (energy-intensive), and overheads. Companies in the bottom quartile globally survive full commodity cycles; top-quartile producers shut down during downturns. Mine grade (zinc content in ore) directly impacts CoP — higher grade = lower cost.</t>
  </si>
  <si>
    <t>Mine Life &amp; Reserves</t>
  </si>
  <si>
    <t>Proven + probable reserves ≥15 years of production; reserve replacement active</t>
  </si>
  <si>
    <t>Mine life determines the long-term viability of the business. Hindustan Zinc's Rampura Agucha and Sindesar Khurd mines have 25+ year reserve lives. Companies actively exploring and replacing reserves (reserves replacement ratio &gt;100%) ensure perpetuity. Declining ore grades over time increase CoP — companies investing in deeper mining technology and new deposit exploration offset this natural depletion.</t>
  </si>
  <si>
    <t>Silver By-product Credits</t>
  </si>
  <si>
    <t>Silver revenue ≥15% of total metal revenue; silver recovery improving</t>
  </si>
  <si>
    <t>Zinc-lead ore typically contains 50-150 grams of silver per ton of ore. Hindustan Zinc is India's largest silver producer — silver revenue is a significant margin enhancer (15-20% of total revenue). At silver prices of $25-30/oz, by-product credits reduce effective zinc CoP by $150-250/ton. Companies with higher silver content in ore and better metallurgical recovery rates earn structurally higher margins than pure-play zinc miners without silver co-products.</t>
  </si>
  <si>
    <t>EBITDA Margin &amp; ROCE</t>
  </si>
  <si>
    <t>EBITDA margin ≥40% at mid-cycle prices; ROCE ≥25%</t>
  </si>
  <si>
    <t>Hindustan Zinc achieves EBITDA margins of 45-55% — among the highest in global metals due to low CoP and silver by-product credits. ROCE of 30-40% reflects the asset-light nature of mature mines (fully depreciated). Margin compression signals either falling zinc/silver prices or rising CoP. Compare margins at normalized mid-cycle zinc prices ($2,500-3,000/ton) for apples-to-apples assessment across cycles.</t>
  </si>
  <si>
    <t>ESG &amp; Mining Sustainability</t>
  </si>
  <si>
    <t>Zero fatality target; water recycling ≥80%; tailings management compliant</t>
  </si>
  <si>
    <t>Underground zinc mining carries safety risks — fatality rates and lost-time injury frequency rates (LTIFR) are closely tracked. Tailings dam management is a critical environmental risk globally (Brumadinho disaster in Brazil). Companies with strong ESG metrics (water recycling, renewable energy in mining operations, progressive mine closure planning) face lower regulatory risk and access ESG-linked capital at preferential rates.</t>
  </si>
  <si>
    <t>8. Precious Metals (Gold/Silver)</t>
  </si>
  <si>
    <t>All-In Sustaining Cost (AISC) per oz</t>
  </si>
  <si>
    <t>AISC &lt;$1,200/oz for gold; positioned in global bottom half</t>
  </si>
  <si>
    <t>AISC is the comprehensive cost metric including mining, processing, sustaining capex, G&amp;A, and reclamation costs. At gold prices of $2,000-2,500/oz, companies with AISC &lt;$1,200/oz earn $800+ margin per oz. India has limited listed gold miners (NMDC has minor gold operations). Globally, Barrick and Newmont benchmark at $1,000-1,300/oz AISC. Indian gold-related companies are primarily in refining (MMTC-PAMP), recycling, and gold-backed finance (Muthoot, Manappuram).</t>
  </si>
  <si>
    <t>Production Volume &amp; Reserve Growth</t>
  </si>
  <si>
    <t>Production growth ≥5% YoY; reserves replacement ratio &gt;100%</t>
  </si>
  <si>
    <t>Gold production is measured in ounces (or kg for Indian companies). Reserve depletion is the existential risk for miners — companies must continuously explore and prove new reserves. India produces only ~1.5 tons of gold annually (negligible vs global 3,600 tons). Hutti Gold Mines (Karnataka, government-owned) is the only significant Indian gold mine. For gold-focused companies, production growth signals successful exploration and development of new deposits.</t>
  </si>
  <si>
    <t>Gold Price Sensitivity &amp; Hedging</t>
  </si>
  <si>
    <t>Revenue sensitivity modeled for ±15% gold price; hedge ratio 0-20%</t>
  </si>
  <si>
    <t>Gold miners' earnings are highly leveraged to gold prices — a 10% move in gold price typically causes 20-30% move in EBITDA. Gold companies historically under-hedge (0-15%) because shareholders invest for gold price exposure. Companies with zero hedging offer maximum gold price leverage (Barrick unhedged). Indian gold finance companies (Muthoot, Manappuram) have different gold price exposure — rising gold increases their LTV headroom and loan book growth potential.</t>
  </si>
  <si>
    <t>Processing Recovery Rate</t>
  </si>
  <si>
    <t>Gold recovery ≥92%; improving through metallurgical innovation</t>
  </si>
  <si>
    <t>Recovery rate = gold actually extracted / gold contained in ore. Modern processing achieves 90-95% recovery. Refractory ores (where gold is locked in sulfide minerals) require more complex processing (roasting, pressure oxidation) and achieve lower recovery. Companies investing in processing technology to improve recovery by even 1-2 percentage points generate significant incremental revenue at zero mining cost.</t>
  </si>
  <si>
    <t>≥40% at gold prices &gt;$2,000/oz; ≥25% at $1,500/oz</t>
  </si>
  <si>
    <t>Gold mining EBITDA margins are highly cyclical — 50%+ at peak gold prices, 15-20% at troughs. The margin structure determines whether the company can sustain dividends, exploration spending, and development capex through the cycle. Companies that maintain positive FCF even at $1,500/oz gold demonstrate operational resilience and conservative cost management.</t>
  </si>
  <si>
    <t>ESG &amp; Responsible Mining</t>
  </si>
  <si>
    <t>Conflict-free gold certification; mercury-free processing; community development spend ≥1% of revenue</t>
  </si>
  <si>
    <t>Gold mining faces intense ESG scrutiny — mercury use in artisanal mining, cyanide in processing, community displacement, and conflict mineral sourcing. Responsible gold certifications (LBMA Good Delivery, Fairmined) command market premiums and access institutional investors. Companies with strong ESG practices face lower permitting risk, community opposition, and regulatory challenges. Indian refiners sourcing from responsible supply chains (MMTC-PAMP) differentiate in export markets.</t>
  </si>
  <si>
    <t>9. Rare Earths &amp; Specialty Minerals</t>
  </si>
  <si>
    <t>Strategic Mineral Portfolio &amp; Supply Criticality</t>
  </si>
  <si>
    <t>Portfolio includes ≥3 critical minerals (as per India's Critical Mineral Strategy)</t>
  </si>
  <si>
    <t>India identified 30 critical minerals in 2023 — lithium, cobalt, rare earths, graphite, titanium, tungsten, vanadium. Indian Rare Earths Ltd (IREL, government) is the primary producer. KABIL (Khanij Bidesh India Ltd) is acquiring overseas mining rights. Companies producing or processing minerals on India's critical list have strategic value beyond commercial metrics — national security and EV supply chain considerations drive government support through mining leases, PLI benefits, and import duty protection.</t>
  </si>
  <si>
    <t>Processing &amp; Value Addition Capability</t>
  </si>
  <si>
    <t>Downstream processing (refining/separation) capability; not just mining</t>
  </si>
  <si>
    <t>Rare earth mining is relatively straightforward; separation and refining into individual elements (neodymium, dysprosium, lanthanum) is the high-value, high-barrier step. China controls 85%+ of global rare earth processing. Indian companies with separation and refining capabilities (IREL's rare earth separation plant at Aluva, Kerala) capture significantly more value than raw ore exporters. Processing capability is the true competitive moat — it takes 5-10 years and ₹1,000+ Cr to build a separation facility.</t>
  </si>
  <si>
    <t>End-Use Market Alignment (EV, Defense, Electronics)</t>
  </si>
  <si>
    <t>Revenue from EV/defense/electronics supply chain ≥40%; growing faster than traditional markets</t>
  </si>
  <si>
    <t>Rare earths and specialty minerals are critical for EV motors (neodymium magnets), wind turbines, defense systems (guided missiles, fighter jets), and electronics (smartphones, semiconductors). Companies aligned with these high-growth end-use markets have superior demand visibility. The EV transition alone is expected to increase rare earth demand by 5-7x by 2035. Companies supplying into defense/space programs also benefit from government procurement guarantees.</t>
  </si>
  <si>
    <t>Mine Life &amp; Resource Security</t>
  </si>
  <si>
    <t>Proven reserves ≥20 years; government mining lease secured</t>
  </si>
  <si>
    <t>Specialty mineral deposits are geographically concentrated globally. India has significant deposits of rare earths (Kerala/Tamil Nadu beach sands — monazite, ilmenite), lithium (Jammu &amp; Kashmir), graphite (Jharkhand, Odisha), and titanium (Kerala, Odisha). Companies with long-term mining leases (typically 30-50 years from government) and proven reserves have multi-decade resource security. The mine auction process in India creates high barriers to entry for new competitors.</t>
  </si>
  <si>
    <t>Revenue Growth &amp; Government Policy Support</t>
  </si>
  <si>
    <t>Revenue CAGR ≥20%; benefiting from domestic sourcing mandates</t>
  </si>
  <si>
    <t>India's critical mineral strategy includes: (a) 100% FDI in mining, (b) royalty concessions for critical minerals, (c) PLI for downstream processing, (d) KABIL overseas acquisitions. Companies positioned to benefit from these policies see accelerated growth. Revenue growth should be measured against policy milestones — domestic sourcing mandates for EVs (localization requirements under PLI for Advanced Chemistry Cell batteries) create guaranteed demand for Indian-sourced critical minerals.</t>
  </si>
  <si>
    <t>ESG &amp; Responsible Sourcing</t>
  </si>
  <si>
    <t>Radioactive material handling compliance (AERB); environmental clearances current</t>
  </si>
  <si>
    <t>Rare earth mining (especially from monazite beach sands) involves radioactive thorium as a by-product. AERB (Atomic Energy Regulatory Board) compliance is mandatory. Environmental clearances for mining in ecologically sensitive coastal areas are stringent. Companies with proper radioactive waste management, environmental monitoring, and community engagement programs face lower regulatory risk. International customers increasingly require responsible sourcing certifications for critical minerals.</t>
  </si>
  <si>
    <t>Forest Materials (3 industries)</t>
  </si>
  <si>
    <t>Paper &amp; Paper Products</t>
  </si>
  <si>
    <t>Pulp Price Sensitivity &amp; Raw Material Mix</t>
  </si>
  <si>
    <t>Captive plantation/waste paper ≥60% of fiber source</t>
  </si>
  <si>
    <t>Paper manufacturing is pulp-intensive — fiber cost is 40-50% of production cost. Companies with captive plantations or high waste paper recycling have structural cost advantages over imported pulp buyers ($600-1,000/ton, volatile).</t>
  </si>
  <si>
    <t>Jute &amp; Jute Products</t>
  </si>
  <si>
    <t>Revenue Growth &amp; Product Mix</t>
  </si>
  <si>
    <t>Revenue CAGR ≥10%; specialty/value-added ≥30%</t>
  </si>
  <si>
    <t>Commodity writing/printing paper is mature (2-4% growth). Growth segments: packaging board (8-12% growth driven by e-commerce), specialty papers (thermal, security, medical), and tissue paper (15%+ growth). Higher-value mix improves margins.</t>
  </si>
  <si>
    <t>Forest Products</t>
  </si>
  <si>
    <t>≥20% integrated mills; ≥14% standalone</t>
  </si>
  <si>
    <t>Integrated mills (pulp + paper at same site with captive plantations) earn 18-25% EBITDA. Standalone mills buying market pulp earn 10-16%. Margin cycles follow global pulp prices with 3-6 month lag.</t>
  </si>
  <si>
    <t>Paper mills are capital-intensive (₹4,000-6,000 Cr for 200,000 TPA). High utilization (&gt;85%) is essential for profitability. India’s installed capacity is ~25 million TPA. Brownfield expansion preferred for lower capex.</t>
  </si>
  <si>
    <t>Sustainability &amp; Certification</t>
  </si>
  <si>
    <t>FSC/PEFC certified; water recycling ≥80%</t>
  </si>
  <si>
    <t>Paper faces environmental scrutiny — deforestation, water usage (100-150 m³/ton), effluent discharge. FSC certification is increasingly required by global FMCG clients. Companies with sustainable forestry and closed-loop water systems access premium customers.</t>
  </si>
  <si>
    <t>≥15% for integrated mills</t>
  </si>
  <si>
    <t>Paper manufacturing is highly capital-intensive with long asset lives (30+ years). ROCE of 15-20% for well-run integrated mills is achievable. New capacity should generate returns above WACC (12-13%) within 3 years.</t>
  </si>
  <si>
    <t>1. Paper &amp; Paper Products</t>
  </si>
  <si>
    <t>Pulp Cost &amp; Integration</t>
  </si>
  <si>
    <t>Captive plantation/waste paper ≥60% of fiber; imported pulp &lt;30%</t>
  </si>
  <si>
    <t>Fiber cost is 40-50% of production cost. ITC Paperboards has 250,000+ acres of social/farm forestry. JK Paper uses high waste paper recycling. Captive sources provide structural cost advantage vs. imported pulp ($600-1,000/ton, volatile).</t>
  </si>
  <si>
    <t>Revenue Mix (Commodity vs Specialty)</t>
  </si>
  <si>
    <t>Packaging board + specialty ≥30% of revenue</t>
  </si>
  <si>
    <t>Commodity writing/printing paper grows 2-4%. Packaging board (8-12% growth, e-commerce driven), specialty papers (thermal, security), and tissue (15%+ growth) are higher-margin. ITC’s paperboard business is a margin leader.</t>
  </si>
  <si>
    <t>≥20% integrated; ≥14% standalone</t>
  </si>
  <si>
    <t>Integrated mills earn 18-25%. Standalone earn 10-16%. Energy cost (coal/biomass boilers) is 15-20% of production. Companies with WHR and biomass boilers have lower costs. Margins follow global pulp prices with 3-6 month lag.</t>
  </si>
  <si>
    <t>Capacity &amp; Expansion</t>
  </si>
  <si>
    <t>Utilization ≥85%; brownfield preferred</t>
  </si>
  <si>
    <t>Capital-intensive (₹4,000-6,000 Cr for 200,000 TPA new mill). JK Paper’s Sirpur acquisition and expansion to 1M TPA demonstrates brownfield strategy — lower capex and faster commissioning. Companies expanding in packaging board have clearer demand visibility.</t>
  </si>
  <si>
    <t>Sustainability Certification</t>
  </si>
  <si>
    <t>FSC/PEFC certified; water recycling ≥80%; carbon neutral target</t>
  </si>
  <si>
    <t>Paper faces scrutiny on deforestation, water usage (100-150 m³/ton), and effluent. FSC certification increasingly required by global FMCG clients for packaging. ITC’s ‘Wellbeing Out of Waste’ program is a sector benchmark.</t>
  </si>
  <si>
    <t>≥15%; improving trend</t>
  </si>
  <si>
    <t>Highly capital-intensive with long asset lives (30+ years). ROCE of 15-20% is achievable for well-run integrated mills. New capacity should earn above WACC within 3 years. JK Paper’s post-acquisition ROCE improvement demonstrates value-accretive M&amp;A.</t>
  </si>
  <si>
    <t>2. Jute &amp; Jute Products</t>
  </si>
  <si>
    <t>India is the world’s largest jute producer (~60% global output). Mandatory jute packaging for food grains (Jute Packaging Materials Act) provides baseline demand. Diversified jute products (geo-textiles, composites, lifestyle bags) drive incremental growth.</t>
  </si>
  <si>
    <t>Raw Material Cost &amp; Procurement</t>
  </si>
  <si>
    <t>Raw jute cost &lt;55% of revenue; multi-source procurement</t>
  </si>
  <si>
    <t>Raw jute prices are volatile (monsoon-dependent, West Bengal concentrated). Companies with diversified procurement across Bangladesh/Bihar/Assam and inventory management strategies have more stable margins. MSP for raw jute provides some floor.</t>
  </si>
  <si>
    <t>≥12% for diversified; ≥8% commodity sacking</t>
  </si>
  <si>
    <t>Commodity jute sacking earns 5-8% margins (government-controlled pricing). Diversified jute products (geo-textiles for road construction, decorative jute, composites) earn 12-20%. Product diversification is the path to margin improvement.</t>
  </si>
  <si>
    <t>Product Diversification</t>
  </si>
  <si>
    <t>Diversified products &gt;40% of revenue</t>
  </si>
  <si>
    <t>Government mandated sacking is low-margin but provides volume base. Companies pivoting to geo-textiles (road construction demand), jute-based composites (auto/construction), and lifestyle products earn higher margins and reduce policy dependency.</t>
  </si>
  <si>
    <t>Government Policy Dependency</t>
  </si>
  <si>
    <t>Non-mandated revenue &gt;30%</t>
  </si>
  <si>
    <t>Jute Packaging Materials Act mandates jute bags for food grains and sugar. Policy changes (dilution of mandatory packaging norms) directly impact demand. Companies with lower government-mandated revenue are more resilient to policy risk.</t>
  </si>
  <si>
    <t>Jute mills are aging assets (many 50+ years old). Modernized mills with updated machinery achieve better ROCE. Capital efficiency depends on product mix — value-added products generate higher returns on the same capital base.</t>
  </si>
  <si>
    <t>3. Forest Products</t>
  </si>
  <si>
    <t>Forest products include timber, plywood, MDF, particle board, and wood-based panels. India’s plywood market is ₹30,000+ Cr growing at 10-12%. Century Plyboards and Greenply are leaders. Real estate recovery and interior fitout demand drive growth.</t>
  </si>
  <si>
    <t>≥14% for organized players</t>
  </si>
  <si>
    <t>Organized plywood (Century, Greenply) earns 13-16% EBITDA. Unorganized sector (60%+ market share) operates on thin margins. GST implementation has been a structural tailwind shifting share to organized players who can claim input tax credit.</t>
  </si>
  <si>
    <t>Raw Material Sourcing</t>
  </si>
  <si>
    <t>Domestic + imported timber diversified; no single source &gt;40%</t>
  </si>
  <si>
    <t>Timber is the primary raw material. India imports significant timber (Myanmar, Gabon, New Zealand). Companies with diversified sourcing across domestic plantations and multiple import origins mitigate supply disruption risk and price volatility.</t>
  </si>
  <si>
    <t>Brand &amp; Distribution</t>
  </si>
  <si>
    <t>Dealer network &gt;5,000; brand-recall-driven demand</t>
  </si>
  <si>
    <t>Plywood is increasingly a branded category. Century Ply and Greenply invest in brand building, driving specification demand from architects and contractors. Wider dealer networks ensure product availability across Tier 2/3 cities.</t>
  </si>
  <si>
    <t>MDF + laminates + particle board &gt;30% of revenue</t>
  </si>
  <si>
    <t>Plywood is the core product but MDF (medium-density fiberboard) is growing faster (20%+ vs. 10% for plywood). Companies expanding into MDF, laminates, and particle board capture the shift toward engineered wood products in modern furniture.</t>
  </si>
  <si>
    <t>Forest products manufacturing is moderately capital-intensive (MDF plants: ₹500-800 Cr). ROCE &gt;15% signals efficient capital use. Century Ply ~18%, Greenply ~14%. Capacity expansion should be demand-led to avoid utilization drop.</t>
  </si>
  <si>
    <t>Automobile &amp; Auto Components (2 industries)</t>
  </si>
  <si>
    <t>Automobiles</t>
  </si>
  <si>
    <t>10–18% YoY (units)</t>
  </si>
  <si>
    <t>Discretionary sector — volumes prove genuine demand vs. price hikes. Indian auto OEMs target 10-15% volume growth. Market share gains matter more than industry growth rate.</t>
  </si>
  <si>
    <t>Auto Components</t>
  </si>
  <si>
    <t>≥13% (PV); ≥14% (components)</t>
  </si>
  <si>
    <t>OEM margins vary by segment. Maruti ~12-14%, M&amp;M ~15-17%, Bajaj Auto ~18-20%. Component margins depend on complexity: forgings/castings ~12-14%, electronics ~15-20%.</t>
  </si>
  <si>
    <t>Market Share / Customer Diversification</t>
  </si>
  <si>
    <t>Top 3 in segment; top OEM client &lt;40%</t>
  </si>
  <si>
    <t>Auto is a scale business. Top 3 players enjoy distribution leverage, supplier bargaining power, and brand recognition. For components, diversification across OEMs reduces volume cliff risk.</t>
  </si>
  <si>
    <t>Auto manufacturing is capital-intensive (plants, tooling, R&amp;D). ROCE &gt;18% signals efficient capital use. Maruti ~25%, Bajaj ~35%. &lt;15% means sub-scale or poor model/product mix.</t>
  </si>
  <si>
    <t>≥20% of revenue</t>
  </si>
  <si>
    <t>Export markets provide diversification and USD revenue. Bajaj exports ~45% of 2W production. India is a global auto component hub (~$21B/yr exports). &gt;20% reduces India-cycle dependency.</t>
  </si>
  <si>
    <t>EV Readiness</t>
  </si>
  <si>
    <t>EV-relevant products &gt;10% of revenue</t>
  </si>
  <si>
    <t>EV transition creates both risk (engine components become obsolete) and opportunity (battery, power electronics, thermal management). Companies pivoting to EV content early gain first-mover advantage.</t>
  </si>
  <si>
    <t>Working Capital</t>
  </si>
  <si>
    <t>&lt;60 days (net)</t>
  </si>
  <si>
    <t>Cash locked in inventory and receivables is cash not earning returns. &lt;60 days net WC cycle is efficient; &gt;90 days signals channel stuffing or slow collections.</t>
  </si>
  <si>
    <t>1. Automobiles</t>
  </si>
  <si>
    <t>Volume Growth (units)</t>
  </si>
  <si>
    <t>8–15% YoY</t>
  </si>
  <si>
    <t>Volume growth proves real demand. Indian PV market ~4.3M units/yr growing 8-12%. Two-wheelers ~18M units. Market share gains matter more than industry growth rate.</t>
  </si>
  <si>
    <t>≥13% (PV); ≥16% (two-wheelers)</t>
  </si>
  <si>
    <t>OEM margins vary by segment. Maruti ~12-14%, M&amp;M ~15-17%, Bajaj Auto ~18-20% (premium 2W). Below threshold signals commodity cost pressure or competitive discounting.</t>
  </si>
  <si>
    <t>Market Share</t>
  </si>
  <si>
    <t>Top 3 in segment</t>
  </si>
  <si>
    <t>Auto is a scale business. Top 3 players in each segment (PV, 2W, CV) enjoy distribution leverage, supplier bargaining power, and brand recognition. Market share is the key moat.</t>
  </si>
  <si>
    <t>High fixed costs in manufacturing. &gt;80% utilization ensures cost absorption. At 90%+, OEMs need new capacity (capex cycle). &lt;70% means demand weakness or overcapacity.</t>
  </si>
  <si>
    <t>Auto manufacturing is capital-intensive (plants, tooling, R&amp;D). ROCE &gt;20% signals efficient capital use. Maruti ~25%, Bajaj ~35%. &lt;15% means sub-scale or poor model mix.</t>
  </si>
  <si>
    <t>Order Book / Booking Trend</t>
  </si>
  <si>
    <t>Pending orders &gt;2 months of production</t>
  </si>
  <si>
    <t>Strong order backlog (&gt;2 months) indicates demand exceeds supply — pricing power intact. &lt;1 month backlog means demand softening or production overcapacity.</t>
  </si>
  <si>
    <t>Export markets provide diversification and USD revenue. Bajaj exports ~45% of 2W production. &gt;20% exports reduces India-cycle dependency.</t>
  </si>
  <si>
    <t>2. Auto Components</t>
  </si>
  <si>
    <t>Revenue growth should exceed OEM volume growth (indicates content-per-vehicle increase). India auto component industry ~$70B growing 12-15%. Export share adds growth vector.</t>
  </si>
  <si>
    <t>Margins depend on product complexity. Forgings/castings ~12-14%, electronics ~15-20%. Commodity component makers face margin pressure from OEM cost negotiations.</t>
  </si>
  <si>
    <t>OEM vs Aftermarket Mix</t>
  </si>
  <si>
    <t>Aftermarket ≥30% of revenue</t>
  </si>
  <si>
    <t>OEM business has volume but squeezed margins (buyer power). Aftermarket carries 2-3x higher margins and recurring demand. &gt;30% aftermarket = balanced, higher-margin mix.</t>
  </si>
  <si>
    <t>≥25% of revenue</t>
  </si>
  <si>
    <t>India is a global auto component export hub (~$21B/yr). &gt;25% exports = diversification + USD earnings. Companies supplying global OEMs (Motherson, Sundaram) have stickier revenue.</t>
  </si>
  <si>
    <t>Auto components are moderately capital-intensive. ROCE &gt;18% is healthy. Bosch ~20%, Motherson ~15%. &lt;12% signals capacity underutilization or poor pricing power.</t>
  </si>
  <si>
    <t>Customer Diversification</t>
  </si>
  <si>
    <t>Top OEM client &lt;40% of revenue</t>
  </si>
  <si>
    <t>Over-dependence on one OEM creates volume cliff risk if that OEM loses market share. Diversified across ≥4 OEMs + aftermarket is safer.</t>
  </si>
  <si>
    <t>EV Content Opportunity</t>
  </si>
  <si>
    <t>EV transition is a risk (engine components become obsolete) and opportunity (battery cooling, power electronics). Companies pivoting to EV content early gain first-mover advantage.</t>
  </si>
  <si>
    <t>Consumer Durables (7 industries)</t>
  </si>
  <si>
    <t>Consumer Electronics</t>
  </si>
  <si>
    <t>≥75%</t>
  </si>
  <si>
    <t>Fixed-cost leverage — higher utilization spreads overheads and directly boosts margins. &lt;65% means assets are underutilized and dragging RoCE.</t>
  </si>
  <si>
    <t>White Goods</t>
  </si>
  <si>
    <t>Working Capital Cycle</t>
  </si>
  <si>
    <t>Leisure Products</t>
  </si>
  <si>
    <t>Capital-intensive sector needs high ROCE to justify investment. Indian durables leaders average 18-25%; &lt;15% means capital is not being deployed productively.</t>
  </si>
  <si>
    <t>Home Furnishings</t>
  </si>
  <si>
    <t>Brand / Dealer Network</t>
  </si>
  <si>
    <t>Dealer &gt;2000+ / strong DTC</t>
  </si>
  <si>
    <t>Moat metric — wide dealer/retail network creates switching costs and service accessibility. Direct-to-consumer (DTC) channel adds margin and data advantages.</t>
  </si>
  <si>
    <t>EV / New Energy Vehicles</t>
  </si>
  <si>
    <t>Debt Levels</t>
  </si>
  <si>
    <t>Debt/Equity &lt;0.5x</t>
  </si>
  <si>
    <t>Cyclical sector needs balance sheet strength to survive downturns. Debt/Equity &lt;0.5x ensures companies can self-fund through slow demand periods.</t>
  </si>
  <si>
    <t>Jewellery &amp; Accessories</t>
  </si>
  <si>
    <t>1. Consumer Electronics</t>
  </si>
  <si>
    <t>India’s consumer electronics market ~$12B growing at 12-15%. Rising incomes + low penetration (AC ~10%, dishwasher &lt;2%) = structural multi-year growth opportunity.</t>
  </si>
  <si>
    <t>Electronics margins are thin due to global competition. EBITDA &gt;10% is strong (Dixon ~7-8% but growing via PLI). Premium brands (Sony, Samsung) earn higher.</t>
  </si>
  <si>
    <t>Market Share (by category)</t>
  </si>
  <si>
    <t>#1 or #2 in ≥1 category</t>
  </si>
  <si>
    <t>Category leadership drives retail shelf space and brand recall. Havells #1 in fans, Voltas #1 in room AC. Market leadership = pricing power in a commoditized market.</t>
  </si>
  <si>
    <t>PLI Benefit Capture</t>
  </si>
  <si>
    <t>PLI incentive &gt;1% of revenue</t>
  </si>
  <si>
    <t>Govt PLI scheme (AC, LED, mobile) provides 4-6% incentive on incremental production. Companies enrolled and meeting targets get direct margin uplift.</t>
  </si>
  <si>
    <t>Channel Mix (Online vs. Offline)</t>
  </si>
  <si>
    <t>Online &gt;25%; offline &gt;3000 touchpoints</t>
  </si>
  <si>
    <t>Omnichannel presence is critical. Online captures 30-40% of electronics now. Companies without strong online (Amazon, Flipkart) presence lose volume to D2C brands.</t>
  </si>
  <si>
    <t>Electronics is moderately capital-intensive (assembly lines, R&amp;D). ROCE &gt;15% is healthy. Dixon ~18%, Havells ~22%. &lt;12% = overinvestment without corresponding revenue.</t>
  </si>
  <si>
    <t>2. White Goods (Home Appliances)</t>
  </si>
  <si>
    <t>15–20% YoY</t>
  </si>
  <si>
    <t>White goods penetration in India is extremely low (AC ~10%, washing machines ~15%, refrigerators ~35%). 15-20% volume growth is structural as urbanization and incomes rise.</t>
  </si>
  <si>
    <t>White goods margins are under pressure from raw materials (copper, steel, compressors). EBITDA &gt;12% indicates pricing power and component cost control. Voltas ~10-12%, Blue Star ~8-10%.</t>
  </si>
  <si>
    <t>Brand Strength / Premium Mix</t>
  </si>
  <si>
    <t>Premium products &gt;30% of revenue</t>
  </si>
  <si>
    <t>Premium (inverter AC, smart appliances) carries higher margins. &gt;30% premium mix signals brand positioning strength and customer willingness to pay for technology.</t>
  </si>
  <si>
    <t>Service Network</t>
  </si>
  <si>
    <t>&gt;500 service centers</t>
  </si>
  <si>
    <t>After-sales service is critical for white goods (installation, AMC, repairs). Wide service network improves customer experience and creates recurring revenue from AMCs.</t>
  </si>
  <si>
    <t>Manufacturing is seasonal (AC = summer peak). Annual utilization &gt;75% across product lines ensures cost efficiency. &lt;65% means overcapacity or wrong product mix.</t>
  </si>
  <si>
    <t>White goods manufacturing is capital-intensive. ROCE &gt;18% is strong. Whirlpool India ~20%, Voltas ~18%. &lt;14% signals either capacity drag or margin compression.</t>
  </si>
  <si>
    <t>3. Leisure Products</t>
  </si>
  <si>
    <t>Leisure/lifestyle is a premiumization play (sports equipment, musical instruments, hobby goods). Rising discretionary income in India supports 15-20% growth.</t>
  </si>
  <si>
    <t>Gross Margin</t>
  </si>
  <si>
    <t>≥40%</t>
  </si>
  <si>
    <t>Leisure products carry brand premium. Gross margin &gt;40% indicates product differentiation. &lt;35% suggests commoditized products competing on price.</t>
  </si>
  <si>
    <t>Brand / IP Licensing</t>
  </si>
  <si>
    <t>Proprietary brands / exclusive licenses</t>
  </si>
  <si>
    <t>IP (brands, patents, exclusive distribution) is the moat. Companies with own brands or exclusive India rights for global brands have defensible market positions.</t>
  </si>
  <si>
    <t>&lt;90 days</t>
  </si>
  <si>
    <t>Leisure products are seasonal and inventory-heavy. Working capital &lt;90 days is efficient; &gt;120 days means slow-moving inventory or poor collection from distributors.</t>
  </si>
  <si>
    <t>Niche market with moderate capex. ROCE &gt;15% justifies capital deployed. &lt;12% means the brand premium isn’t translating to returns.</t>
  </si>
  <si>
    <t>4. Home Furnishings</t>
  </si>
  <si>
    <t>Home furnishing in India is shifting from unorganized to organized sector. Real estate recovery and premiumization drive 12-18% growth for branded players.</t>
  </si>
  <si>
    <t>Branded home furnishing (tiles, sanitaryware, paints-adjacent) earns 40-55% gross margins. Asian Paints (home decor) ~42%, Kajaria ~50%. &lt;35% = commoditized.</t>
  </si>
  <si>
    <t>Dealer network &gt;5000; brand recall top 3</t>
  </si>
  <si>
    <t>Fragmented market where brand trust matters (high-value purchase, infrequent buying cycle). Wide dealer network + strong brand = sustainable market share.</t>
  </si>
  <si>
    <t>&lt;75 days</t>
  </si>
  <si>
    <t>Home furnishing involves inventory across SKUs and slow-moving designs. Working capital &lt;75 days indicates efficient inventory management and dealer collections.</t>
  </si>
  <si>
    <t>Moderately capital-intensive (manufacturing + showrooms). EBITDA &gt;14% signals brand premium and efficient operations. Kajaria ~18%, Somany ~10%.</t>
  </si>
  <si>
    <t>Capital deployed in manufacturing plants and brand building. ROCE &gt;18% is healthy. &lt;14% indicates overcapacity or margin compression from competition.</t>
  </si>
  <si>
    <t>5. EV / New Energy Vehicles</t>
  </si>
  <si>
    <t>Volume Growth (EV units)</t>
  </si>
  <si>
    <t>≥40% YoY</t>
  </si>
  <si>
    <t>India’s EV market is at inflection. EV 2W growing 40%+, 4W &lt;3% penetration. Companies growing &gt;40% YoY are capturing the S-curve adoption phase.</t>
  </si>
  <si>
    <t>Battery Cost per kWh</t>
  </si>
  <si>
    <t>&lt;$120/kWh</t>
  </si>
  <si>
    <t>Battery is 40% of EV cost. &lt;$120/kWh enables price parity with ICE vehicles. India targets $100/kWh by 2027. Companies with cell manufacturing (Ola, Tata) have cost advantage.</t>
  </si>
  <si>
    <t>≥15% (path to 20%+)</t>
  </si>
  <si>
    <t>Most Indian EV makers are pre-profit or thin margin. &gt;15% gross margin signals viable unit economics. Path to 20%+ at scale is critical for long-term sustainability.</t>
  </si>
  <si>
    <t>Charging Infrastructure / Range</t>
  </si>
  <si>
    <t>Range &gt;300 km; fast-charge &lt;45 min</t>
  </si>
  <si>
    <t>Range anxiety is the #1 adoption barrier. &gt;300 km range and fast-charging capability addresses this. Companies with own charging networks (Tata, Ather) have ecosystem advantage.</t>
  </si>
  <si>
    <t>Order Book / Booking Pipeline</t>
  </si>
  <si>
    <t>Pending bookings &gt;3 months production</t>
  </si>
  <si>
    <t>Strong booking pipeline signals demand exceeds supply — pricing power and growth visibility. Tata EV bookings routinely exceed 3-month production capacity.</t>
  </si>
  <si>
    <t>Cash Burn Rate / Runway</t>
  </si>
  <si>
    <t>Cash runway &gt;3 years</t>
  </si>
  <si>
    <t>Most EV companies are pre-profit and burning cash for growth. Cash runway &gt;3 years ensures they survive to profitability without distressed capital raises.</t>
  </si>
  <si>
    <t>6. Jewellery &amp; Accessories</t>
  </si>
  <si>
    <t>Same-Store Sales Growth (SSSG)</t>
  </si>
  <si>
    <t>SSSG ≥12% YoY; volume growth positive</t>
  </si>
  <si>
    <t>SSSG isolates organic growth from new store expansion. Titan achieves 15-20% SSSG driven by brand trust and premiumization. Kalyan Jewellers targets 12-15%. SSSG decomposition into volume growth vs gold price appreciation is critical — pure price-led growth (from gold price rally) is less sustainable than volume/mix-led growth. Negative SSSG signals demand weakness or competitive market share loss.</t>
  </si>
  <si>
    <t>Revenue Growth &amp; Store Expansion</t>
  </si>
  <si>
    <t>Revenue CAGR ≥18%; net store additions ≥15% YoY</t>
  </si>
  <si>
    <t>India's organized jewellery market is ₹5 lakh Cr+ and growing as unorganized-to-organized shift accelerates post-GST and hallmarking mandate. Titan (Tanishq) has ~2,000 stores; Kalyan expanding aggressively with franchise model. Revenue growth is driven by store count expansion × SSSG × gold price appreciation. Companies growing stores at 15-20% annually while maintaining positive SSSG demonstrate scalable execution.</t>
  </si>
  <si>
    <t>Studded Ratio (Non-gold share of revenue)</t>
  </si>
  <si>
    <t>Studded/diamond share ≥30% of sales; making charges ≥12% of gold jewellery</t>
  </si>
  <si>
    <t>Gold jewellery earns 8-12% making charges (low margin on high gold value). Studded/diamond jewellery earns 30-50% gross margins — 4x the margin of plain gold. Companies with higher studded ratio (Titan at ~30%, increasing) have structurally superior margins. Making charge realization (%) indicates pricing power and brand premium. The industry trend is toward higher studded mix as aspirational consumers upgrade.</t>
  </si>
  <si>
    <t>Gold Hedging &amp; Inventory Management</t>
  </si>
  <si>
    <t>Gold inventory hedged ≥80%; inventory days &lt;90</t>
  </si>
  <si>
    <t>Jewellery companies hold ₹5,000-15,000 Cr of gold inventory. Unhedged gold positions create P&amp;L volatility — a 5% gold price swing on ₹10,000 Cr inventory is ₹500 Cr impact. Titan's gold-on-lease model minimizes balance sheet gold exposure. Kalyan hedges through commodity exchanges. Companies with disciplined hedging policies and lean inventory days generate more predictable earnings and better capital efficiency.</t>
  </si>
  <si>
    <t>Franchise vs Owned Mix &amp; Unit Economics</t>
  </si>
  <si>
    <t>Franchise stores achieving payback &lt;3 years; owned store EBITDA ≥8%</t>
  </si>
  <si>
    <t>The jewellery retail model is shifting to asset-light franchise expansion. Kalyan's FOCO (Franchise Owned, Company Operated) model targets ₹3.5 Cr investment per store with 2.5-year payback. Titan operates company-owned stores with higher control but more capital. Unit economics per store (revenue per sqft, EBITDA per store) determine scalability. Companies achieving healthy franchise unit economics can scale faster without proportional capital deployment.</t>
  </si>
  <si>
    <t>EBITDA margin ≥8% for retail; ROCE ≥20%</t>
  </si>
  <si>
    <t>Jewellery retail operates on thin EBITDA margins (6-10%) but high asset turnover, resulting in strong ROCE (Titan Jewellery at ~30% ROCE). Margin is sensitive to gold price hedging effectiveness, studded ratio, making charge realization, and operating leverage from store expansion. ROCE is the better profitability metric as it accounts for the capital-intensive gold inventory. Companies maintaining ROCE &gt;20% while expanding store network are creating value.</t>
  </si>
  <si>
    <t>7. Paints &amp; Coatings</t>
  </si>
  <si>
    <t>Volume growth ≥10% YoY; outpacing industry average</t>
  </si>
  <si>
    <t>India's paint industry is ₹70,000+ Cr growing at 10-12% by volume. Volume growth (litres sold) is the core metric — isolates real demand growth from price increases. Asian Paints leads with ~33% market share. New entrants (Grasim/Birla Opus, JSW Paints) are disrupting with aggressive pricing. Companies growing volume faster than the 10% industry average are gaining share. Volume growth decomposition: repainting cycle (4-5 years) × new construction × premiumization.</t>
  </si>
  <si>
    <t>≥18% for decorative; ≥14% for industrial paints</t>
  </si>
  <si>
    <t>Paint margins are driven by crude-linked raw materials (TiO2, monomers, solvents account for 55-65% of cost), operating leverage, and pricing power. Asian Paints maintains 18-22% EBITDA margin through superior RM procurement, dealer management, and brand premium. Berger achieves 15-18%. New entrants (Grasim) are operating at negative/thin margins to gain share. Margin trends over 4-6 quarters show whether RM cost pass-through is effective.</t>
  </si>
  <si>
    <t>Dealer Network &amp; Tinting Machine Penetration</t>
  </si>
  <si>
    <t>Dealer network &gt;25,000; tinting machine share &gt;70% of points of sale</t>
  </si>
  <si>
    <t>Distribution is the ultimate moat in paints. Asian Paints has ~1.5 lakh dealers (untouchable). Berger has ~40,000. Tinting machines at dealer shops create lock-in — once a dealer has a brand's machine, switching is costly. Companies with deeper tier-2/3/rural distribution access under-penetrated markets growing at 15-20%. Dealer loyalty programs, credit terms, and tinting machine technology (colour-matching accuracy) differentiate brands.</t>
  </si>
  <si>
    <t>Decorative vs Industrial Mix</t>
  </si>
  <si>
    <t>Decorative ≥70% of revenue for retail-focused companies</t>
  </si>
  <si>
    <t>Decorative paints (home/office) account for 75% of India's paint market with 15-22% EBITDA margins. Industrial paints (automotive OEM, protective coatings) earn 10-15% margins but provide counter-cyclical stability. Companies with higher decorative mix have higher margins and consumer brand equity. Kansai Nerolac's automotive paint business provides industrial stability but lower blended margins. Premium decorative (waterproofing, wood finishes, textures) earns 25-30% margins.</t>
  </si>
  <si>
    <t>R&amp;D &amp; Product Innovation</t>
  </si>
  <si>
    <t>New product revenue ≥15% of sales; R&amp;D ≥1.5% of revenue</t>
  </si>
  <si>
    <t>Paint innovation drives premiumization — waterproofing solutions (Asian Paints SmartCare), anti-bacterial paints (post-COVID demand), wood finishes, and texture/designer finishes command 30-50% price premiums over base emulsions. R&amp;D also drives cost optimization (better formulations with lower TiO2 loading). Companies with strong innovation pipelines convert painters/contractors into brand advocates through training programs and app-based colour visualization tools.</t>
  </si>
  <si>
    <t>≥25% for market leaders; ≥18% for challengers</t>
  </si>
  <si>
    <t>Paints is a high-ROCE business — moderate fixed assets (manufacturing plants) + negative working capital (dealer advance payments) + strong pricing power = exceptional capital efficiency. Asian Paints achieves ROCE of 28-35%. Berger at 22-28%. New entrants (Grasim, JSW) will have depressed ROCE during investment phase but must demonstrate a path to 18%+ within 5 years. Declining ROCE for incumbents signals competitive margin pressure from new entrants.</t>
  </si>
  <si>
    <t>Textiles (2 industries)</t>
  </si>
  <si>
    <t>Textiles &amp; Apparels</t>
  </si>
  <si>
    <t>India's textile market ~$150B. PLI scheme, China+1, and branded retail drive growth. Companies at 12-18% are capturing both domestic and export opportunities.</t>
  </si>
  <si>
    <t>Technical Textiles</t>
  </si>
  <si>
    <t>≥12% (manufacturing); ≥18% (branded)</t>
  </si>
  <si>
    <t>Textile manufacturing (yarn, fabric) earns 10-14% EBITDA. Branded apparel (Page Industries, Trent) earns 18-25%. Business model determines margin profile.</t>
  </si>
  <si>
    <t>Export vs Domestic Mix</t>
  </si>
  <si>
    <t>Balanced (40-60% each)</t>
  </si>
  <si>
    <t>Export-heavy companies face order volatility and USD/INR risk. Domestic-heavy miss global opportunities. Balanced mix provides diversification and growth optionality.</t>
  </si>
  <si>
    <t>Brand / Value-Addition</t>
  </si>
  <si>
    <t>Branded/value-added &gt;40% of revenue</t>
  </si>
  <si>
    <t>Commodity textiles (yarn, gray fabric) face price volatility. Value-added products (branded apparel, technical textiles, home textiles) earn 2-3x margins.</t>
  </si>
  <si>
    <t>Working Capital Days</t>
  </si>
  <si>
    <t>Textiles are working capital intensive (raw cotton inventory, long production cycles). &lt;90 days is efficient; &gt;120 days means cash is locked in inventory or receivables.</t>
  </si>
  <si>
    <t>Textiles are capital-intensive (spinning mills, weaving, processing). ROCE &gt;15% is strong for manufacturers. Page Industries ~35% (branded). &lt;10% = commodity trap.</t>
  </si>
  <si>
    <t>1. Textiles &amp; Apparels</t>
  </si>
  <si>
    <t>India's textile &amp; apparel market ~$150B. PLI scheme for MMF/technical textiles, China+1 sourcing shift, and domestic branded retail growth drive 12-18% revenue expansion. Trent, Page Industries lead domestic; Gokaldas, KPR Mill lead exports.</t>
  </si>
  <si>
    <t>Commodity yarn/fabric earns 10-14% EBITDA. Branded apparel (Page ~20%, Trent ~10% scaling) earns premium. Companies moving up from manufacturing to branded retail capture structurally higher margins.</t>
  </si>
  <si>
    <t>Balanced 40-60% each</t>
  </si>
  <si>
    <t>Export-heavy faces order volatility and USD/INR risk. Domestic-heavy misses global China+1 shift. Balanced mix provides counter-cyclical diversification. India's textile exports ~$35B targeting $100B by 2030.</t>
  </si>
  <si>
    <t>Commodity textiles (yarn, gray fabric) face raw cotton price volatility. Branded apparel, home textiles (Welspun), and processed fabrics earn 2-3x margins and provide pricing power.</t>
  </si>
  <si>
    <t>Raw cotton inventory (seasonal procurement), long production cycles, and export receivables (60-90 day LCs) lock capital. &lt;90 days NWC is efficient; &gt;120 signals inventory buildup or buyer payment delays.</t>
  </si>
  <si>
    <t>Spinning mills and processing plants are capital-intensive. ROCE &gt;15% is strong. Page Industries ~35% (branded asset-light). KPR Mill ~18% (vertically integrated). &lt;10% = commodity trap with no pricing power.</t>
  </si>
  <si>
    <t>2. Technical Textiles</t>
  </si>
  <si>
    <t>≥18% YoY</t>
  </si>
  <si>
    <t>Technical textiles (geo-textiles, agro-textiles, medical textiles, industrial fabrics) growing 18-20% driven by infrastructure spend (roads need geo-textiles), healthcare demand, and automotive applications. India's technical textile market ~$22B, low penetration vs. global.</t>
  </si>
  <si>
    <t>≥16%</t>
  </si>
  <si>
    <t>Technical textiles earn premium margins (16-22%) vs. commodity textiles (10-14%) due to specialized manufacturing, product certification requirements, and lower competition. Companies with proprietary processes and certifications maintain margin stability.</t>
  </si>
  <si>
    <t>R&amp;D and Product Certification</t>
  </si>
  <si>
    <t>R&amp;D &gt;3% of revenue; international certifications active</t>
  </si>
  <si>
    <t>Technical textiles require product certification (BIS, ISO, customer-specific testing). Certified products create entry barriers. R&amp;D investment in new applications (fire-retardant, anti-microbial, high-tenacity) drives product premiumization.</t>
  </si>
  <si>
    <t>Application Diversification</t>
  </si>
  <si>
    <t>≥3 application segments; no single &gt;40%</t>
  </si>
  <si>
    <t>Technical textiles span 12 application areas (geo-tech, medi-tech, agro-tech, pack-tech, etc.). Diversification across applications reduces cyclical risk. SRF and Garware Technical Fibres are diversified leaders.</t>
  </si>
  <si>
    <t>≥30% of revenue</t>
  </si>
  <si>
    <t>Global technical textile market ~$200B. India's share is growing with China+1 sourcing. Companies exporting &gt;30% benefit from USD pricing, diverse demand sources, and global quality benchmarks.</t>
  </si>
  <si>
    <t>Technical textile plants are moderately capital-intensive but earn higher margins than commodity textiles. ROCE &gt;18% is achievable for specialized manufacturers. SRF ~20%. Companies with backward integration into polymers earn even higher returns.</t>
  </si>
  <si>
    <t>Media, Entertainment &amp; Communication (6 industries)</t>
  </si>
  <si>
    <t>Broadcasting &amp; Cable TV</t>
  </si>
  <si>
    <t>Revenue Growth (Ad + Subscription)</t>
  </si>
  <si>
    <t>≥15% YoY; subscription revenue growing faster than ad revenue</t>
  </si>
  <si>
    <t>Media revenue comes from two streams: advertising (cyclical, linked to GDP/adex growth) and subscription (recurring, stickier). India's media industry is ~₹2.4L Cr and growing at 8-10% CAGR. Companies shifting mix toward subscription (OTT, paid digital) have more predictable revenue. Ad revenue is volatile — it surges during IPL/elections and crashes during economic slowdowns.</t>
  </si>
  <si>
    <t>Digital Media &amp; OTT</t>
  </si>
  <si>
    <t>Content Cost as % of Revenue</t>
  </si>
  <si>
    <t>Content cost &lt;40% of revenue (broadcasters); &lt;50% (OTT)</t>
  </si>
  <si>
    <t>Content is the single largest cost for media companies — original programming, sports rights (IPL rights alone cost ₹48,000 Cr over 5 years), and movie acquisitions. Companies that own content libraries (Sun TV, Tips Industries) have lower marginal content cost vs those that must continually acquire/produce (Zee, OTT platforms). Amortization of content costs is a key accounting judgment — aggressive amortization depresses near-term profits but is conservative.</t>
  </si>
  <si>
    <t>Print Media &amp; Publishing</t>
  </si>
  <si>
    <t>≥25% (broadcasters); ≥15% (print); ≥10% (OTT at scale)</t>
  </si>
  <si>
    <t>Operating leverage is strong in media — once content is created, distributing it to 10M vs 100M viewers costs marginally more. Sun TV operates at &gt;50% EBITDA margin because it owns regional content with near-zero incremental cost. OTT platforms are typically loss-making initially but margins improve dramatically at scale (Netflix global ~25%, Indian OTT still mostly negative).</t>
  </si>
  <si>
    <t>Film Production &amp; Exhibition</t>
  </si>
  <si>
    <t>Audience Reach / Engagement</t>
  </si>
  <si>
    <t>Viewership share growing; DAU/MAU &gt;30% (digital); GRP leadership</t>
  </si>
  <si>
    <t>Audience reach directly drives ad revenue — advertisers pay per eyeball. For TV, GRP (Gross Rating Points) and viewership share (BARC data) determine ad rates. For digital, DAU/MAU ratio measures engagement quality — a platform with 100M users but 20% daily engagement is worth less than one with 50M users and 50% DAU/MAU. Content virality and retention metrics are the digital equivalent of TV ratings.</t>
  </si>
  <si>
    <t>Advertising &amp; Media Agencies</t>
  </si>
  <si>
    <t>Digital Revenue Mix</t>
  </si>
  <si>
    <t>Digital revenue &gt;30% of total; growing &gt;25% YoY</t>
  </si>
  <si>
    <t>India's digital advertising market is growing at 25-30% CAGR while traditional (TV, print) grows at 5-8%. Companies successfully transitioning to digital (Zee5, JioCinema, Times Internet) command higher valuation multiples. Digital revenue is subscription + digital ads — both are higher-margin than traditional distribution. Print companies without digital pivot face structural decline.</t>
  </si>
  <si>
    <t>Gaming &amp; Interactive Entertainment</t>
  </si>
  <si>
    <t>IP / Content Library Value</t>
  </si>
  <si>
    <t>Owned content library; evergreen IP generating recurring royalty</t>
  </si>
  <si>
    <t>Content libraries are the ultimate moat in media — they generate revenue perpetually with zero incremental cost. Tips Industries and Saregama earn royalties from decades-old music catalogues. Sun TV's library of 30,000+ hours of Tamil/Telugu content is irreplaceable. Companies that own IP (vs license it) have structurally higher margins and more predictable cash flows. In the OTT era, library content drives 60-70% of viewing time even though new originals get the headlines.</t>
  </si>
  <si>
    <t>Media is asset-light (no factories, minimal fixed assets beyond studios/equipment) so ROCE should be high. Sun TV achieves &gt;30% ROCE, Zee historically ~15-18%. Low ROCE in an asset-light media business signals poor capital allocation — typically from overpaying for content rights, failed OTT investments, or acquisitions that don't generate returns.</t>
  </si>
  <si>
    <t>1. Broadcasting &amp; Cable TV</t>
  </si>
  <si>
    <t>Ad Revenue per GRP</t>
  </si>
  <si>
    <t>Growing faster than industry adex; premium pricing</t>
  </si>
  <si>
    <t>GRP (Gross Rating Points) is the currency of TV advertising. Revenue per GRP measures pricing power — channels with top-rated shows command premium CPM (cost per mille). Star Sports earns 3-5x the CPM of general entertainment due to IPL. Consistent GRP leadership in prime-time slots drives ad revenue without proportional cost increase.</t>
  </si>
  <si>
    <t>Subscription Revenue (ARPU)</t>
  </si>
  <si>
    <t>≥₹15/sub/month; &gt;10% YoY growth</t>
  </si>
  <si>
    <t>NTO 2.0 regime (TRAI regulation) made a-la-carte channel selection mandatory, changing the economics from bouquet-based to per-channel pricing. Higher ARPU = stronger content = higher willingness to pay. Regional broadcasters (Sun TV) have stickier subscription revenue because of language/cultural barriers to entry.</t>
  </si>
  <si>
    <t>Content Cost / Revenue</t>
  </si>
  <si>
    <t>&lt;40% of revenue; declining trend</t>
  </si>
  <si>
    <t>The single largest expense. Original programming, sports rights, and movie acquisitions. Companies with owned content libraries (Sun TV's 30,000+ hours) have near-zero marginal content cost. Those bidding for sports rights (IPL, Olympics) face escalating costs every cycle. Content cost efficiency separates profitable broadcasters from cash-burning ones.</t>
  </si>
  <si>
    <t>Viewership Market Share</t>
  </si>
  <si>
    <t>Top 3 in target genre/language; GRP share &gt;15%</t>
  </si>
  <si>
    <t>Viewership share directly correlates with ad revenue share — broadcasters command ad rates proportional to their audience share. BARC (Broadcast Audience Research Council) data is the industry standard. Consistent share gains signal content resonance; persistent losses signal audience migration to OTT.</t>
  </si>
  <si>
    <t>Distribution Reach</t>
  </si>
  <si>
    <t>&gt;150M households; &gt;80% cable/DTH penetration</t>
  </si>
  <si>
    <t>India has ~200M TV households. Reach determines the addressable audience for advertisers. Companies with strong distribution across cable, DTH, and OTT have multi-platform monetization. DD Free Dish (45M homes) is a massive free-to-air platform that low-cost channels use for reach.</t>
  </si>
  <si>
    <t>Digital Transition Progress</t>
  </si>
  <si>
    <t>OTT subscriber base growing &gt;25% YoY</t>
  </si>
  <si>
    <t>Linear TV viewership in urban India is declining as audiences shift to OTT. Broadcasters must transition their audience to digital platforms (Zee5, SonyLIV, Hotstar). Those lagging in digital will see accelerating revenue decline as advertisers shift digital budgets.</t>
  </si>
  <si>
    <t>Broadcasting is asset-light (studios, transponder costs, content). ROCE should be &gt;18% for well-run broadcasters. Low ROCE signals overspending on content rights or failed digital ventures.</t>
  </si>
  <si>
    <t>2. Digital Media &amp; OTT</t>
  </si>
  <si>
    <t>Subscriber Growth (Paid)</t>
  </si>
  <si>
    <t>Paid subs &gt;30% YoY; total subs &gt;50M</t>
  </si>
  <si>
    <t>OTT economics depend on paid subscriber scale. India has ~100M paid OTT subscriptions (many users subscribe to multiple platforms). Paid sub growth — not free/ad-supported — is the metric that drives ARPU and path to profitability. JioCinema's freemium-to-paid conversion post-IPL is the key test case.</t>
  </si>
  <si>
    <t>ARPU (Subscription + Ad)</t>
  </si>
  <si>
    <t>≥₹150/month blended; rising trend</t>
  </si>
  <si>
    <t>Indian OTT ARPU is among the lowest globally (₹100-200/month vs Netflix US ~$16). ARPU expansion comes from: (a) reducing free tiers, (b) premium content gating, (c) ad-supported tiers at scale, (d) bundling (telecom+OTT). Rising ARPU is the single most important driver of unit economics.</t>
  </si>
  <si>
    <t>Content Spend Efficiency</t>
  </si>
  <si>
    <t>Hours viewed per ₹1Cr content spend; &gt;5M streaming hours</t>
  </si>
  <si>
    <t>Raw content spend is meaningless without measuring what it produces. Hours viewed per crore of content investment measures efficiency. A ₹100 Cr movie that generates 500M hours (like Jawan on Netflix) is far better value than a ₹50 Cr series watched by 5M people. Library content efficiency (old catalog generating views) is the ultimate competitive advantage.</t>
  </si>
  <si>
    <t>Monthly Active Users (MAU)</t>
  </si>
  <si>
    <t>&gt;50M MAU; DAU/MAU &gt;30%</t>
  </si>
  <si>
    <t>MAU measures platform reach; DAU/MAU measures engagement quality. A platform with high MAU but low DAU/MAU has a sampling problem — users install but don't return. &gt;30% DAU/MAU signals habitual usage. Engagement drives both ad revenue (more impressions per user) and subscription retention.</t>
  </si>
  <si>
    <t>Churn Rate</t>
  </si>
  <si>
    <t>Monthly churn &lt;5%; annual churn &lt;40%</t>
  </si>
  <si>
    <t>Subscriber churn is the silent killer of OTT economics. India's low ARPU means customer acquisition cost recovery takes 6-12 months — if a subscriber churns within 3 months, the company lost money on them. Churn spikes after tentpole events (users subscribe for IPL then cancel). Low churn signals content stickiness.</t>
  </si>
  <si>
    <t>Cash Burn / Path to Profitability</t>
  </si>
  <si>
    <t>EBITDA breakeven within 3 years; cash burn declining QoQ</t>
  </si>
  <si>
    <t>Most Indian OTT platforms are loss-making. The key question is the trajectory — is cash burn declining? Is there a credible path to EBITDA breakeven? Compare cash burn vs subscriber growth to assess unit economics. Platforms burning ₹500+ Cr/year with flat subscriber growth are destroying value.</t>
  </si>
  <si>
    <t>Original vs Licensed Content Mix</t>
  </si>
  <si>
    <t>Originals &gt;40% of viewing hours</t>
  </si>
  <si>
    <t>Original content drives subscriber acquisition (people sign up for a specific show). Licensed content drives retention (catalog depth keeps them engaged between originals). The ideal mix is 40%+ originals for marketing/acquisition value, with a deep licensed library for daily engagement.</t>
  </si>
  <si>
    <t>3. Print Media &amp; Publishing</t>
  </si>
  <si>
    <t>Ad Revenue Trend</t>
  </si>
  <si>
    <t>Print ad revenue stable or declining &lt;5% YoY</t>
  </si>
  <si>
    <t>Print advertising is in structural decline globally, but India's regional print market has been resilient. English dailies (HT, TOI) face steeper digital migration of ad budgets. Regional language dailies (Dainik Bhaskar, Eenadu) retain better because local advertisers have fewer digital alternatives. Monitoring the rate of decline — not whether it's declining — is what matters.</t>
  </si>
  <si>
    <t>Circulation &amp; Readership</t>
  </si>
  <si>
    <t>IRS readership stable; copies sold &gt;1M/day</t>
  </si>
  <si>
    <t>India is unique — print readership has historically grown even as other countries declined, driven by rising literacy and regional language demand. IRS (Indian Readership Survey) data shows total readership. Companies maintaining circulation in their core geography have defensible ad revenue.</t>
  </si>
  <si>
    <t>Digital Revenue Growth</t>
  </si>
  <si>
    <t>Digital revenue &gt;20% of total; growing &gt;30% YoY</t>
  </si>
  <si>
    <t>The survival metric for print media. Companies that successfully build digital properties (Times Internet, HT Digital) capture migrating ad budgets and add subscription revenue. Digital revenue mix &gt;20% signals successful transition; &lt;10% means the company is still mostly analog and vulnerable.</t>
  </si>
  <si>
    <t>Newsprint Cost Control</t>
  </si>
  <si>
    <t>Newsprint cost &lt;30% of revenue; hedged/contracted pricing</t>
  </si>
  <si>
    <t>Newsprint is 25-35% of print media cost, entirely imported (India imports ~60% of newsprint). Crude-linked (energy for pulp manufacturing) and forex-sensitive. Companies with long-term contracts, domestic sourcing, or integrated paper mills (HT Media's partnership with BILT) are better insulated. Rising newsprint costs directly compress margins.</t>
  </si>
  <si>
    <t>≥18% for large publishers; ≥12% for mid-size</t>
  </si>
  <si>
    <t>Print media margins have compressed from 25-30% (pre-2015) to 15-20% due to declining ad revenue and rising newsprint costs. Companies maintaining &gt;18% margins have successfully cut costs and grown digital revenue. Margin expansion signals successful digital transition.</t>
  </si>
  <si>
    <t>Print media assets include printing presses, real estate (office/press sites), and inventory. ROCE &gt;12% means capital is earning above cost of equity despite the structural headwinds. Companies sitting on valuable real estate (Mumbai/Delhi press sites) may have hidden asset value.</t>
  </si>
  <si>
    <t>4. Film Production &amp; Exhibition</t>
  </si>
  <si>
    <t>Box Office Revenue Growth</t>
  </si>
  <si>
    <t>≥15% YoY; per-screen revenue growing</t>
  </si>
  <si>
    <t>India's box office is ~₹12,000 Cr annually (post-COVID recovery). Revenue is driven by: (a) ticket pricing power (ATP — average ticket price), (b) footfall/occupancy, (c) number of screens. Hindi box office has become top-heavy (₹500Cr+ blockbusters vs mid-range decline), while South Indian cinema has surged (RRR, KGF, Pushpa crossing ₹1,000 Cr).</t>
  </si>
  <si>
    <t>Occupancy Rate / ATP</t>
  </si>
  <si>
    <t>Occupancy &gt;30%; ATP &gt;₹250 in metros</t>
  </si>
  <si>
    <t>PVR INOX (India's largest chain, ~1,700 screens) operates at 25-35% average occupancy. Each 1% occupancy improvement drops straight to EBITDA. ATP (Average Ticket Price) at ₹250+ in metros and ₹150+ in Tier 2/3 ensures per-head revenue covers the high fixed cost of screen operations. F&amp;B spend per head (₹100-150) is equally important — it's 25-30% of revenue at 70%+ gross margin.</t>
  </si>
  <si>
    <t>Screen Count &amp; Expansion</t>
  </si>
  <si>
    <t>Screen additions &gt;100/year; multiplex penetration growing</t>
  </si>
  <si>
    <t>India has ~9,500 multiplex screens vs ~60,000 in China and ~45,000 in the US. Screens per million population is 7 in India vs 40+ in developed markets. Massive expansion headroom, especially in Tier 2/3 cities. PVR INOX targets 150+ screens/year. New screens take 18-24 months to mature to full occupancy.</t>
  </si>
  <si>
    <t>Content Pipeline / Hit Ratio</t>
  </si>
  <si>
    <t>≥2 hits per quarter; diversified language portfolio</t>
  </si>
  <si>
    <t>Film production is inherently hit-driven — 10% of films generate 80% of profits. Companies with diversified language exposure (Hindi + South + regional) reduce concentration risk. A studio releasing 15-20 films/year with a 30%+ hit ratio has a more predictable revenue stream than one betting on 3-4 big-budget films.</t>
  </si>
  <si>
    <t>F&amp;B Revenue per Admit</t>
  </si>
  <si>
    <t>SPH (spend per head) ≥₹120; F&amp;B revenue &gt;25% of total</t>
  </si>
  <si>
    <t>Food &amp; beverage is the secret profit engine of exhibition — it's 25-30% of revenue but 35-40% of EBITDA because gross margins are 70-75% (vs 45-50% on tickets). Increasing F&amp;B SPH through menu innovation, premium formats (IMAX, 4DX), and dine-in concepts directly improves profitability without needing more footfall.</t>
  </si>
  <si>
    <t>Debt / Lease Obligations</t>
  </si>
  <si>
    <t>Net Debt/EBITDA &lt;3x; lease-adjusted leverage manageable</t>
  </si>
  <si>
    <t>Exhibition is capital-intensive (each new screen costs ₹3-5 Cr) and lease-heavy (long-term mall/property leases). PVR INOX merger created ₹3,000+ Cr of lease obligations. Rising interest rates and fixed lease costs make operating leverage work in reverse during low-occupancy quarters. Debt serviceability is critical.</t>
  </si>
  <si>
    <t>Film exhibition earns returns on screen assets, leasehold improvements, and projection equipment. ROCE &gt;12% signals screens are earning above cost of capital. New screens depress ROCE initially (18-24 month maturity). Mature screen portfolio should target &gt;15%.</t>
  </si>
  <si>
    <t>5. Advertising &amp; Media Agencies</t>
  </si>
  <si>
    <t>Revenue Growth (Digital vs Traditional)</t>
  </si>
  <si>
    <t>Digital ad revenue growing &gt;25% YoY; &gt;50% of billings from digital</t>
  </si>
  <si>
    <t>India's advertising market is ~₹1L Cr, growing at 10-12% CAGR overall but digital is growing at 25-30%. Agencies that have pivoted to digital (programmatic, social, influencer) are capturing this shift. Those still dependent on traditional media buying (TV, print) face margin pressure as media buying becomes automated/disintermediated.</t>
  </si>
  <si>
    <t>Client Retention &amp; Concentration</t>
  </si>
  <si>
    <t>Top 10 clients &lt;40% of revenue; client churn &lt;10%</t>
  </si>
  <si>
    <t>Agency revenue is project/retainer based — losing a major client can crater revenue overnight. Low client concentration and high retention signal service quality and relationship depth. Diversified client base across sectors (FMCG, auto, tech, BFSI) also reduces cyclical risk.</t>
  </si>
  <si>
    <t>≥18% for integrated agencies; ≥12% for media buying</t>
  </si>
  <si>
    <t>Advertising is a people business with high operating leverage — once the team is staffed, incremental revenue flows largely to EBITDA. Global benchmarks: WPP ~15%, Publicis ~18%. Indian agencies should target 15-20%. Below 12% signals over-hiring or price competition.</t>
  </si>
  <si>
    <t>≥₹25L/employee; rising with automation/AI</t>
  </si>
  <si>
    <t>Agencies sell human creativity and expertise. Revenue per employee measures productivity and pricing power. AI/automation tools (programmatic ad buying, generative AI for creative) are raising productivity — agencies adopting these early will see rising revenue per employee without proportional headcount growth.</t>
  </si>
  <si>
    <t>Working Capital Management</t>
  </si>
  <si>
    <t>DSO &lt;90 days; net working capital days &lt;30</t>
  </si>
  <si>
    <t>Agencies face chronic working capital strain — they pay media vendors upfront but collect from clients with 60-120 day credit cycles. Managing this gap is essential for cash flow. Companies with strong collection practices and media vendor terms generate positive operating cash flow.</t>
  </si>
  <si>
    <t>Advertising is asset-light (office space, computers, talent). ROCE should be &gt;20% for well-run agencies. Low ROCE signals either poor pricing, over-staffing, or locked working capital.</t>
  </si>
  <si>
    <t>6. Gaming &amp; Interactive Entertainment</t>
  </si>
  <si>
    <t>≥25% YoY; real-money gaming (RMG) + esports both growing</t>
  </si>
  <si>
    <t>India's gaming market is ~$3.5B and growing at 20-25% CAGR. Real-money gaming (fantasy sports, poker, rummy) is the primary revenue driver — Nazara Technologies, Games24x7, Dream11. Revenue growth must come from both user acquisition and ARPU improvement, not just player volume. Regulatory risk (state-level bans on RMG) can cause sudden revenue drops.</t>
  </si>
  <si>
    <t>Monthly Transacting Users (MTU)</t>
  </si>
  <si>
    <t>MTU &gt;5M; MTU/MAU conversion &gt;20%</t>
  </si>
  <si>
    <t>For gaming platforms, the key metric is not downloads or MAU but Monthly Transacting Users — people who actually spend money. MTU/MAU conversion rate measures monetization efficiency. India has 500M+ mobile gamers but &lt;50M transact. Converting free players to paying customers (through in-app purchases, battle passes, tournament entry fees) is the growth lever.</t>
  </si>
  <si>
    <t>ARPU per Paying User</t>
  </si>
  <si>
    <t>≥₹500/month; rising with premium offerings</t>
  </si>
  <si>
    <t>Indian gaming ARPU is low globally (~₹200-500/month for RMG) but growing. ARPU expansion comes from: (a) higher-stakes games, (b) in-app purchase depth, (c) subscription models, (d) esports tournament entry fees. Companies that can move ARPU from ₹200 → ₹500 while maintaining user base double their revenue.</t>
  </si>
  <si>
    <t>User Acquisition Cost (CAC) vs LTV</t>
  </si>
  <si>
    <t>LTV/CAC &gt;3x; payback period &lt;6 months</t>
  </si>
  <si>
    <t>Gaming companies spend heavily on user acquisition (performance marketing, influencer campaigns, sports sponsorship). If Lifetime Value (LTV) is not &gt;3x Customer Acquisition Cost (CAC), the economics don't work. India's CAC for gaming users has risen 40-50% since 2022 due to competition and regulatory restrictions on advertising RMG.</t>
  </si>
  <si>
    <t>Operating in regulated states; no exposure to banned formats</t>
  </si>
  <si>
    <t>India's gaming regulation is fragmented — some states ban online RMG (Tamil Nadu attempted, overturned), others tax it at 28% GST (significantly impacting unit economics). Companies operating purely in skill-based games with regulatory clarity (rummy, fantasy sports post-Supreme Court rulings) have lower risk. Those in grey areas (casual betting, prediction markets) face existential regulatory risk.</t>
  </si>
  <si>
    <t>Gross Margin / Take Rate</t>
  </si>
  <si>
    <t>Platform take rate &gt;15%; gross margin &gt;60%</t>
  </si>
  <si>
    <t>Gaming platforms earn a take rate (commission) on each transaction — typically 10-20% for RMG. Higher take rate = better economics but risks driving users to competitors. Gross margin &gt;60% signals efficient platform operations. 28% GST on full face value (not just platform fees) has compressed margins for RMG platforms since Oct 2023.</t>
  </si>
  <si>
    <t>EBITDA positive; &gt;10% for scaled platforms</t>
  </si>
  <si>
    <t>Most Indian gaming companies are in growth/investment phase. EBITDA positivity signals the platform has crossed scale threshold. Nazara Technologies achieved EBITDA breakeven in FY24. Margin expansion from here requires operating leverage — growing revenue faster than marketing/tech spend.</t>
  </si>
  <si>
    <t>Realty (6 industries)</t>
  </si>
  <si>
    <t>Residential Real Estate</t>
  </si>
  <si>
    <t>Pre-sales / Bookings Growth</t>
  </si>
  <si>
    <t>Pre-sales &gt;₹5,000 Cr/year for large developers; ≥20% YoY growth</t>
  </si>
  <si>
    <t>Pre-sales (value of new bookings) is THE leading indicator for real estate companies — it predicts revenue 2-3 years ahead because revenue recognition under Ind AS 115 happens at completion/possession. Godrej Properties, Prestige, DLF report pre-sales quarterly. Pre-sales growth reflects demand strength, pricing power, and launch success. Declining pre-sales in a rising market signals competitive weakness.</t>
  </si>
  <si>
    <t>Commercial Real Estate</t>
  </si>
  <si>
    <t>Collections Efficiency</t>
  </si>
  <si>
    <t>Collections/Pre-sales ratio ≥75%; collections growing ≥20% YoY</t>
  </si>
  <si>
    <t>Collections are actual cash received from customers. Pre-sales without collections is just an agreement — the cash hasn't arrived. Collections/pre-sales ratio &gt;75% means buyers are making payments on schedule (linked to construction progress milestones). Low collections ratio signals either construction delays (RERA deadlines not met) or buyer defaults. Collections fund construction — without them, the developer needs external debt.</t>
  </si>
  <si>
    <t>Retail / Mall Development</t>
  </si>
  <si>
    <t>Net Debt / Pre-sales</t>
  </si>
  <si>
    <t>Net Debt/Pre-sales &lt;0.5x; net debt/equity &lt;0.5</t>
  </si>
  <si>
    <t>The real estate-specific leverage metric. Unlike D/E (which ignores business strength), Net Debt/Pre-sales measures deleveraging capacity from current business momentum. &lt;0.5x means the developer can repay all debt in 6 months from current pre-sales trajectory. Godrej Properties maintains ~0.3x. Companies with &gt;1.0x are over-leveraged relative to sales velocity. This metric predicted every major Indian real estate default (Unitech, JP Group, Amrapali).</t>
  </si>
  <si>
    <t>REITs (Real Estate Investment Trusts)</t>
  </si>
  <si>
    <t>Launch Pipeline (sq ft / projects)</t>
  </si>
  <si>
    <t>Launch pipeline &gt;2x annual pre-sales; diversified across micro-markets</t>
  </si>
  <si>
    <t>Launch pipeline is the land bank converted to RERA-approved projects ready for launch. It determines growth runway — developers without adequate launch pipeline face pre-sales stagnation. Post-RERA, land acquisition + approvals takes 2-3 years before a project can be launched. Companies with 5+ year pipelines (DLF, Prestige, Godrej Properties) have longer growth visibility. Pipeline should be diversified across cities/micro-markets to avoid geographic concentration risk.</t>
  </si>
  <si>
    <t>Industrial &amp; Warehousing</t>
  </si>
  <si>
    <t>≥25% for developers; ≥60% for REITs/annuity income</t>
  </si>
  <si>
    <t>Real estate development margins vary by segment: luxury &gt;35%, mid-segment 25-30%, affordable 15-20%. JV/DM (joint development/asset-light) models have higher EBITDA margins because land cost is minimal. REITs/rental income businesses operate at &gt;60% EBITDA margins because operating costs are low relative to rental income. Margin trend matters — improving margins in a rising ASP (average selling price) environment signals pricing power.</t>
  </si>
  <si>
    <t>Real Estate Services &amp; Broking</t>
  </si>
  <si>
    <t>≥12% for developers; ≥8% for REITs (leverage-adjusted)</t>
  </si>
  <si>
    <t>Real estate is capital-intensive — massive capital is locked in land, construction WIP, and unsold inventory. ROCE measures if the capital deployed is earning above cost. Asset-light developers (Godrej Properties uses JV/DM model) achieve higher ROCE than land-heavy ones. ROCE improvement signals the developer is accelerating project execution and reducing capital lock-in periods.</t>
  </si>
  <si>
    <t>1. Residential Real Estate</t>
  </si>
  <si>
    <t>Pre-sales Growth (₹ Cr)</t>
  </si>
  <si>
    <t>≥20% YoY; volumes + ASP both contributing</t>
  </si>
  <si>
    <t>The #1 metric. Pre-sales = new home bookings by value. Growth should come from both volume (units sold) and ASP (average selling price per sq ft) improvement. Pure ASP-driven growth without volume means pricing has outrun demand. Volume-driven growth with flat/declining ASP means the developer is discounting to sell. Best: both volume and ASP rising.</t>
  </si>
  <si>
    <t>Collections / Pre-sales Ratio</t>
  </si>
  <si>
    <t>≥75%; collections exceeding pre-sales (from older bookings)</t>
  </si>
  <si>
    <t>Cash from buyers funds construction. Collections/pre-sales &gt;75% means current-year buyers are paying on schedule AND older project buyers are making milestone payments. Collections exceeding pre-sales (ratio &gt;100%) means the developer is collecting from a large backlog of sold-but-under-construction units — strong cash position.</t>
  </si>
  <si>
    <t>Unsold Inventory (months)</t>
  </si>
  <si>
    <t>Unsold inventory &lt;18 months (at current quarterly run rate)</t>
  </si>
  <si>
    <t>Unsold inventory = completed but not sold units. Measured in months of absorption. &lt;12 months is excellent (DLF, Prestige). 12-18 months is healthy. 18-36 months signals sluggish demand. &gt;36 months is distressed inventory. Unsold inventory trend matters — declining inventory in a rising price environment is very bullish.</t>
  </si>
  <si>
    <t>Net Debt / Equity</t>
  </si>
  <si>
    <t>Net D/E &lt;0.5x; declining trend</t>
  </si>
  <si>
    <t>Post-2018 (IL&amp;FS crisis, NBFC collapse), over-leveraged developers (Unitech, Jaypee, Supertech) went bankrupt. The market now rewards low-leverage developers. Net D/E &lt;0.5x provides buffer for execution delays and demand slowdowns. Godrej Properties ~0.3x, Prestige ~0.4x post-restructuring.</t>
  </si>
  <si>
    <t>Project Execution Speed</t>
  </si>
  <si>
    <t>Average delivery within RERA timeline; &lt;30 months for mid-rise</t>
  </si>
  <si>
    <t>RERA mandates project completion within registered timeline (typically 3-5 years). Developers who consistently deliver on time build brand equity and earn customer trust (which drives referral sales, 30-40% of bookings for top developers). Delayed projects incur RERA penalties and erode brand.</t>
  </si>
  <si>
    <t>Geographic Diversification</t>
  </si>
  <si>
    <t>Presence in ≥3 major markets; no single city &gt;50% of pre-sales</t>
  </si>
  <si>
    <t>Real estate is hyperlocal — a slowdown in one city (e.g., Gurugram oversupply 2016-2019) can devastate a developer. Companies present across Mumbai + Bangalore + Pune + NCR + Hyderabad have diversified demand sources. But new city entry is capital-intensive and risky (execution track record doesn't transfer easily).</t>
  </si>
  <si>
    <t>≥12%; improving trend</t>
  </si>
  <si>
    <t>Residential development locks capital in land and WIP for 3-5 years. ROCE &gt;12% means project IRRs are healthy. Asset-light models (JV with landowner, development management) improve ROCE because the developer deploys minimal capital. ROCE improvement over time signals faster execution and efficient capital deployment.</t>
  </si>
  <si>
    <t>2. Commercial Real Estate</t>
  </si>
  <si>
    <t>Occupancy Rate</t>
  </si>
  <si>
    <t>≥90% across portfolio; new completions &gt;80% pre-leased</t>
  </si>
  <si>
    <t>Occupancy rate is the most important metric for commercial real estate — it directly drives rental income. India's Grade A office market averages 85-90% occupancy. Top developers (DLF Cyber City, Embassy, Brookfield) maintain &gt;90%. Pre-leasing (signing tenants before construction completion) de-risks new supply.</t>
  </si>
  <si>
    <t>Rental Yield / NOI Margin</t>
  </si>
  <si>
    <t>Rental yield ≥8%; NOI margin ≥70%</t>
  </si>
  <si>
    <t>Rental yield = annual rental income / property value. India office yields are 7-9% (higher than global 4-6%). Net Operating Income (NOI) margin = (rental income - property operating expenses) / rental income. NOI margin &gt;70% is standard for Grade A office because operating costs (maintenance, property tax, insurance) are a small fraction of rent.</t>
  </si>
  <si>
    <t>Rent Escalation / Mark-to-Market</t>
  </si>
  <si>
    <t>Contractual escalation ≥5%/year; MTM gap &gt;15%</t>
  </si>
  <si>
    <t>Office leases are typically 5-9 years with built-in annual rent escalations (5-15% depending on market). Mark-to-market gap measures how much current rents are below market rates — a high gap means rents will jump when leases renew. Embassy REIT reported 20-25% MTM gap, implying significant rental growth locked in.</t>
  </si>
  <si>
    <t>Tenant Quality &amp; WALE</t>
  </si>
  <si>
    <t>WALE &gt;5 years; &gt;70% of rental from MNC/blue-chip tenants</t>
  </si>
  <si>
    <t>Weighted Average Lease Expiry (WALE) &gt;5 years provides multi-year rental visibility. Blue-chip tenants (top IT companies, MNCs, Big 4) have near-zero default risk. A building with WALE of 3 years and mostly startup tenants is riskier than one with WALE of 7 years and Fortune 500 tenants.</t>
  </si>
  <si>
    <t>Leasable Area Growth</t>
  </si>
  <si>
    <t>New completions &gt;1M sq ft/year; development pipeline &gt;5x annual completion</t>
  </si>
  <si>
    <t>Portfolio growth comes from new completions and acquisitions. A robust development pipeline provides visibility on future rental income growth. Companies with large land banks near existing commercial clusters (DLF in Gurgaon, Embassy in Bangalore outer ring road) have embedded growth optionality.</t>
  </si>
  <si>
    <t>Net Debt / Rental Income</t>
  </si>
  <si>
    <t>Net Debt / Annual Rental Income &lt;5x; debt cost &lt; rental yield</t>
  </si>
  <si>
    <t>Commercial real estate is typically debt-funded. The key test: is the rental yield (8-9%) higher than the cost of debt (8-10%)? If yes, leverage amplifies returns. Net Debt / Annual Rental Income &lt;5x means the portfolio generates enough rental to service and repay debt within reasonable timeframe.</t>
  </si>
  <si>
    <t>≥8% (lower than residential due to annuity model)</t>
  </si>
  <si>
    <t>Commercial RE locks capital for decades (annuity model) but generates predictable returns. ROCE of 8-10% is acceptable given the stability and predictability of cash flows. NAV-based valuation (price vs net asset value) is more relevant than ROCE for commercial portfolios.</t>
  </si>
  <si>
    <t>3. Retail / Mall Development</t>
  </si>
  <si>
    <t>Mall Occupancy Rate</t>
  </si>
  <si>
    <t>≥95%; wait-listed tenants for premium spots</t>
  </si>
  <si>
    <t>Top Indian malls (Phoenix Palladium, DLF Promenade, Forum Malls) operate at 95-98% occupancy. Lower occupancy means empty storefronts, which reduces foot traffic and hurts adjacent stores (negative spiral). Wait-listed tenants indicate excess demand — the mall can be selective about tenant mix and negotiate higher rents.</t>
  </si>
  <si>
    <t>Revenue per Sq Ft (Rental + Revenue Share)</t>
  </si>
  <si>
    <t>≥₹200/sq ft/month in metros; ≥₹100 in Tier 2</t>
  </si>
  <si>
    <t>Mall revenue comes from: (a) minimum guarantee rent (MG), (b) revenue share above MG (typically 8-15% of tenant sales), (c) CAM charges. Revenue per sq ft captures total monetization. Phoenix Mills earns ₹150-250/sq ft/month across its portfolio. Revenue share component is key — it aligns the mall's income with tenant success.</t>
  </si>
  <si>
    <t>Consumption / Tenant Sales Growth</t>
  </si>
  <si>
    <t>Same-mall tenant sales growing ≥15% YoY</t>
  </si>
  <si>
    <t>The ultimate health metric for a mall — are shoppers spending more? Same-mall consumption growth (total tenant sales within existing malls) drives both revenue share income and lease renewal rates. Post-COVID, India's premium malls have seen 20-30% consumption growth as discretionary spending surges.</t>
  </si>
  <si>
    <t>Footfall Growth</t>
  </si>
  <si>
    <t>Footfall growing &gt;10% YoY; trading density (sales/footfall) rising</t>
  </si>
  <si>
    <t>More visitors = more sales = more revenue for both tenants and the mall. But quality of footfall matters — trading density (average spend per visitor) should be rising. Entertainment anchors (multiplexes, family entertainment centers) drive footfall. Premium F&amp;B and luxury brands drive trading density.</t>
  </si>
  <si>
    <t>Tenant Mix &amp; Churn</t>
  </si>
  <si>
    <t>Diverse mix (fashion 30%, F&amp;B 20%, entertainment 15%); churn &lt;10%</t>
  </si>
  <si>
    <t>Optimal tenant mix creates a destination, not just a shopping center. Over-reliance on any category is risky. Low churn (&lt;10%) means tenants are profitable and want to stay. The ability to attract aspirational brands (Zara, H&amp;M, Apple) signals mall positioning.</t>
  </si>
  <si>
    <t>Net Debt/EBITDA &lt;4x; declining with rental growth</t>
  </si>
  <si>
    <t>Mall development requires heavy upfront investment (₹500-2,000 Cr per mall). Debt-funded growth is normal but must be manageable. Net Debt/EBITDA &lt;4x means the mall portfolio generates enough to comfortably service debt. Phoenix Mills has brought leverage down to ~2x through strong rental growth.</t>
  </si>
  <si>
    <t>≥10% for mature malls; improving for recently opened</t>
  </si>
  <si>
    <t>Mall ROCE improves over time as occupancy rises and rents escalate. Newly opened malls (first 2-3 years) have lower ROCE due to tenant fit-out periods and gradual ramp-up. Mature malls (5+ years) should achieve &gt;10% ROCE with further expansion through rent escalation.</t>
  </si>
  <si>
    <t>4. REITs (Real Estate Investment Trusts)</t>
  </si>
  <si>
    <t>Distribution per Unit (DPU)</t>
  </si>
  <si>
    <t>DPU yield ≥6%; DPU growing ≥5% YoY</t>
  </si>
  <si>
    <t>REITs are legally required to distribute ≥90% of net distributable income to unitholders. DPU (₹ per unit) is the primary return metric — it's the REIT equivalent of dividends. DPU yield (DPU/unit price) should be compared against fixed deposit rates and bond yields. Embassy REIT yields ~6-7%, Mindspace ~6.5%. Rising DPU signals portfolio growth and rent escalation.</t>
  </si>
  <si>
    <t>≥90% across portfolio; re-leasing spreads &gt;10%</t>
  </si>
  <si>
    <t>Occupancy drives rental income which drives DPU. India's listed REITs (Embassy Office Parks, Mindspace, Brookfield India) operate at 85-92% occupancy. Re-leasing spread (% increase in rent when a lease is renewed) measures pricing power. A 15% re-leasing spread means rents jump 15% at renewal — pure margin expansion.</t>
  </si>
  <si>
    <t>Net Asset Value (NAV) vs Market Price</t>
  </si>
  <si>
    <t>Trading at &lt;10% premium to NAV; or discount to NAV for value</t>
  </si>
  <si>
    <t>NAV = appraised value of all properties minus debt. REITs trading at a discount to NAV offer value because you're buying real estate below its independently appraised worth. Premium to NAV is justified if the REIT has a strong development pipeline that will add value. India REITs have traded at 5-15% discount to NAV — attractive vs global REITs.</t>
  </si>
  <si>
    <t>WALE (Weighted Average Lease Expiry)</t>
  </si>
  <si>
    <t>WALE &gt;5 years; no single year with &gt;20% of leases expiring</t>
  </si>
  <si>
    <t>WALE tells you how long current rental income is contractually locked in. &gt;5 years provides excellent visibility. Concentrated lease expiry (e.g., 30% of leases expiring in one year) creates risk — if market conditions are weak, renewals may be at lower rents.</t>
  </si>
  <si>
    <t>Debt / GAV (Gross Asset Value)</t>
  </si>
  <si>
    <t>Debt/GAV &lt;35%; weighted average cost of debt &lt;8.5%</t>
  </si>
  <si>
    <t>SEBI mandates REIT leverage cap at 49% of GAV. Prudent REITs maintain 25-35%. Lower leverage means less interest cost eating into distributable income. Cost of debt below rental yield (~8-9%) means debt is accretive — each borrowed rupee generates more rental income than interest cost.</t>
  </si>
  <si>
    <t>Portfolio Growth Pipeline</t>
  </si>
  <si>
    <t>Development pipeline &gt;20% of current leasable area</t>
  </si>
  <si>
    <t>REITs grow DPU through: (a) rent escalation on existing portfolio, (b) completing new developments, (c) acquiring new properties. A strong development pipeline (under-construction office parks that will be added to the REIT) provides visible growth without acquisition risk.</t>
  </si>
  <si>
    <t>Tenant Quality</t>
  </si>
  <si>
    <t>≥70% rental from Fortune 500/top IT; sector diversification</t>
  </si>
  <si>
    <t>Blue-chip tenants (Google, Microsoft, JP Morgan, TCS) have near-zero default risk and long lease commitments. Concentration in one tenant sector (e.g., &gt;80% from IT/tech) creates sector-specific risk. India REITs are heavily IT-tenant concentrated — diversification toward BFSI, GCCs, and flex space is positive.</t>
  </si>
  <si>
    <t>5. Industrial &amp; Warehousing</t>
  </si>
  <si>
    <t>Warehouse additions &gt;5M sq ft/year; pipeline &gt;20M sq ft</t>
  </si>
  <si>
    <t>India's Grade A warehousing market has exploded post-GST (single national market) and e-commerce boom. Players: IndoSpace (largest, unlisted), ESR, Welspun One, Lodha Industrial. Leasable area growth drives rental income growth. India has ~300M sq ft of Grade A warehouse stock vs &gt;15B sq ft in the US — massive underpenetration.</t>
  </si>
  <si>
    <t>≥90%; pre-leasing &gt;50% of new supply</t>
  </si>
  <si>
    <t>Warehouse occupancy &gt;90% signals strong demand. India's Grade A warehousing operates at 85-92% occupancy across major clusters (Mumbai, NCR, Bangalore, Pune, Chennai). Pre-leasing (tenants commit before construction completion) de-risks development. E-commerce and 3PL tenants (Amazon, Flipkart, Delhivery) sign long-term leases.</t>
  </si>
  <si>
    <t>Rental Yield</t>
  </si>
  <si>
    <t>Rental yield ≥8%; escalation clauses ≥4%/year</t>
  </si>
  <si>
    <t>Warehouse rental yields in India (8-10%) are higher than office (7-9%) because of lower construction cost per sq ft. Lease escalation clauses of 4-5% per year provide built-in rental growth. The delta between yield and cost of debt determines leverage economics.</t>
  </si>
  <si>
    <t>Tenant Quality &amp; Diversification</t>
  </si>
  <si>
    <t>≥60% from blue-chip 3PL/e-commerce; no single tenant &gt;20%</t>
  </si>
  <si>
    <t>E-commerce (Amazon, Flipkart, Meesho) and 3PL logistics (Delhivery, Mahindra Logistics) are the primary tenants. Manufacturing tenants (auto, FMCG) provide diversification. High-quality tenants with long leases (5-15 years for warehouse) provide cash flow stability.</t>
  </si>
  <si>
    <t>Location Advantage</t>
  </si>
  <si>
    <t>Near major consumption centers / ports / highways; GST regime-compliant</t>
  </si>
  <si>
    <t>Warehouse location is everything — proximity to consumption centers (Mumbai, NCR), ports (JNPT, Mundra), and highway intersections determines tenant demand and rental rates. GST eliminated multi-state warehousing need, centralizing demand in fewer, larger facilities near key logistics nodes.</t>
  </si>
  <si>
    <t>NOI Margin</t>
  </si>
  <si>
    <t>NOI margin ≥75%; low maintenance capex</t>
  </si>
  <si>
    <t>Warehouses have simpler operating requirements than offices — lower maintenance, no complex HVAC, minimal common area expenses. NOI margins of 75-80% are achievable. Higher spec facilities (cold storage, clean rooms) have slightly lower NOI but command premium rents.</t>
  </si>
  <si>
    <t>≥10%; improving with portfolio maturity</t>
  </si>
  <si>
    <t>Warehousing development earns returns over long horizons (15-20 year leases). ROCE of 10%+ is healthy given the stability and predictability. Development-stage companies have lower current ROCE but embedded NAV growth from pipeline completion.</t>
  </si>
  <si>
    <t>6. Real Estate Services &amp; Broking</t>
  </si>
  <si>
    <t>≥20% YoY; platform-driven growth dominant</t>
  </si>
  <si>
    <t>RE services include property broking (NoBroker, Housing.com, Square Yards), property management, valuation services, and co-working (WeWork India). Revenue grows with: (a) transaction volume (more property sales = more brokerage), (b) digital platform adoption, (c) value-added services (home loans, interiors). India's RE services market is largely unorganized — formalization is the secular tailwind.</t>
  </si>
  <si>
    <t>Transaction Volume / GMV</t>
  </si>
  <si>
    <t>GMV growing &gt;25% YoY; take rate stable at ≥2%</t>
  </si>
  <si>
    <t>For platforms and brokerages, GMV (total transaction value facilitated) is the scale metric. Take rate (commission as % of property value) is typically 1-3% for residential, 3-5% for commercial. Higher GMV with stable take rate = sustainable revenue growth. NoBroker has disrupted traditional broking by charging flat fees instead of percentage commission.</t>
  </si>
  <si>
    <t>≥15% for tech-enabled platforms; ≥10% for traditional broking</t>
  </si>
  <si>
    <t>Tech-enabled RE services (NoBroker, Square Yards) have higher margin potential due to platform leverage. Traditional broking is people-intensive with 5-10% margins. Co-working (WeWork India) has negative margins currently but path to EBITDA breakeven. Property management is steady at 10-15% margins.</t>
  </si>
  <si>
    <t>Customer Acquisition Cost</t>
  </si>
  <si>
    <t>CAC declining; organic lead generation &gt;40%</t>
  </si>
  <si>
    <t>RE is a high-value, low-frequency purchase — customer acquisition costs are high (₹5,000-15,000 per qualified lead for broking). Companies with strong SEO/brand recall (Housing.com, MagicBricks) have lower CAC through organic traffic. Digital marketing spend efficiency (cost per lead, lead-to-conversion ratio) is the key operational metric.</t>
  </si>
  <si>
    <t>Platform Stickiness / Repeat Usage</t>
  </si>
  <si>
    <t>Repeat users &gt;30%; tenant management/renewal services active</t>
  </si>
  <si>
    <t>Property transactions are infrequent (once in 5-10 years for purchase). Companies that build ongoing relationships through rental management, home services (interiors, maintenance), and tenant management create recurring revenue between transactions. NoBroker's subscription model for landlord/tenant management adds stickiness.</t>
  </si>
  <si>
    <t>Top 3 in target geography; growing share of organized market</t>
  </si>
  <si>
    <t>India's real estate broking market is 95% unorganized. Organized players capturing share from local brokers through technology (virtual tours, digital documentation, loan facilitation) have a large TAM. Market share growth in organized RE services is a stronger signal than absolute size.</t>
  </si>
  <si>
    <t>Working Capital / Cash Flow</t>
  </si>
  <si>
    <t>Positive operating cash flow; low capex needs</t>
  </si>
  <si>
    <t>RE services are asset-light (technology platform, small offices). Working capital should be minimal. Companies burning cash on marketing without proportional revenue growth are destroying value. Break-even to positive cash flow is the minimum expectation for scaled platforms.</t>
  </si>
  <si>
    <t>Consumer Services (3 industries)</t>
  </si>
  <si>
    <t>Hotels &amp; Resorts</t>
  </si>
  <si>
    <t>Consumer services benefit from rising discretionary spending, urbanization, and formalization. India’s hospitality, QSR, and organized retail markets are growing 15-20% as branded/organized players displace unorganized.</t>
  </si>
  <si>
    <t>Restaurants &amp; Catering</t>
  </si>
  <si>
    <t>SSSG isolates organic growth from new store/property openings. &gt;8% indicates pricing power and footfall improvement at existing locations. Negative SSSG with aggressive expansion is unsustainable.</t>
  </si>
  <si>
    <t>Retailing</t>
  </si>
  <si>
    <t>≥25% (hotels); ≥18% (restaurants); ≥8% (retail)</t>
  </si>
  <si>
    <t>Hotels have high operating leverage (50-60% EBITDA at peak). QSR chains target 18-25%. Retail operates on thin margins (6-10%) but high asset turnover. Margin profile varies dramatically by sub-sector.</t>
  </si>
  <si>
    <t>Occupancy / Utilization</t>
  </si>
  <si>
    <t>≥70% (hotels); revenue per sq ft rising (retail)</t>
  </si>
  <si>
    <t>Fixed-cost businesses need high utilization. Hotels above 70% occupancy see profit margins expand rapidly. Retail revenue per sq ft measures store productivity. Restaurants track covers per table per day.</t>
  </si>
  <si>
    <t>Unit Economics</t>
  </si>
  <si>
    <t>Store-level EBITDA positive by Month 6; payback &lt;3 years</t>
  </si>
  <si>
    <t>For expansion-driven models (QSR, retail chains), unit economics determine whether growth creates or destroys value. Store-level profitability within 6 months and payback within 3 years is the benchmark.</t>
  </si>
  <si>
    <t>≥12% (asset-heavy); ≥25% (asset-light)</t>
  </si>
  <si>
    <t>Hotels are asset-heavy (12-15% ROCE typical). Restaurant chains using franchise/management models are asset-light (25%+). Retail ROCE depends on inventory management. Asset-light models command valuation premium.</t>
  </si>
  <si>
    <t>1. Hotels &amp; Resorts</t>
  </si>
  <si>
    <t>RevPAR (Revenue per Available Room)</t>
  </si>
  <si>
    <t>≥₹6,000/night (upscale); growing &gt;10% YoY</t>
  </si>
  <si>
    <t>RevPAR = Occupancy × ADR. The single most important hotel metric combining pricing and utilization. Indian Hotels (Taj) RevPAR ~₹8,000+. RevPAR growth &gt;10% indicates both demand and pricing strength.</t>
  </si>
  <si>
    <t>≥70%</t>
  </si>
  <si>
    <t>Hotels have massive operating leverage — incremental revenue above 65% occupancy flows to profit at 70-80% margin. India’s branded hotels average 68-72% occupancy. New supply is limited, supporting rate recovery.</t>
  </si>
  <si>
    <t>≥30% (owned); ≥50% (management fees)</t>
  </si>
  <si>
    <t>Owned hotels earn 25-35% EBITDA (fixed costs: staff, maintenance). Management/franchise model earns 50-70% margin on fee income. Indian Hotels transitioning to asset-light (Ginger brand) for higher margins.</t>
  </si>
  <si>
    <t>Asset-Light Revenue Mix</t>
  </si>
  <si>
    <t>Management + franchise fees ≥30% of EBITDA</t>
  </si>
  <si>
    <t>Asset-light expansion (management contracts, franchising) generates high-margin recurring fees without capital lock-in. ITC Hotels, Lemon Tree growing through management contracts. Higher asset-light mix = higher valuation multiple.</t>
  </si>
  <si>
    <t>Pipeline / Room Growth</t>
  </si>
  <si>
    <t>Room inventory growing ≥10% YoY</t>
  </si>
  <si>
    <t>India has ~150,000 branded hotel rooms (vs. 5M+ in US). Huge headroom for branded chain expansion. Pipeline of signed rooms indicates growth visibility. Indian Hotels targets 300+ hotels (currently ~250+).</t>
  </si>
  <si>
    <t>Hotels are extremely capital-intensive (₹1-2 Cr per room for upscale). ROCE &gt;12% is healthy for owned properties. Asset-light models achieve 25%+ ROCE. Blended ROCE improving with asset-light mix shift.</t>
  </si>
  <si>
    <t>2. Restaurants &amp; Catering</t>
  </si>
  <si>
    <t>Same-Store Sales Growth</t>
  </si>
  <si>
    <t>SSSG measures organic growth at existing restaurants. &gt;8% indicates pricing power and customer traffic improvement. Negative SSSG with new store openings masks deteriorating brand strength.</t>
  </si>
  <si>
    <t>Store-Level EBITDA Margin</t>
  </si>
  <si>
    <t>≥20% for QSR; ≥25% for casual dining</t>
  </si>
  <si>
    <t>Store-level EBITDA isolates operational efficiency from corporate overhead. Jubilant FoodWorks (Domino’s) ~22%. Devyani (KFC/Pizza Hut) ~20%. Below 15% at store level means the unit economics don’t support expansion.</t>
  </si>
  <si>
    <t>New Store Openings &amp; Pipeline</t>
  </si>
  <si>
    <t>≥15% net new store growth YoY</t>
  </si>
  <si>
    <t>QSR growth is store-count driven. Jubilant targets 200+ stores/yr. Devyani 300+/yr. Net store additions (new minus closures) reveal expansion quality. High closures alongside openings signals poor site selection.</t>
  </si>
  <si>
    <t>Average Revenue per Store (ARS)</t>
  </si>
  <si>
    <t>Rising or stable trend</t>
  </si>
  <si>
    <t>ARS declining with store additions means cannibalization or lower-tier city expansion diluting averages. Stable/rising ARS with store growth confirms scalable economics.</t>
  </si>
  <si>
    <t>Food Cost as % of Revenue</t>
  </si>
  <si>
    <t>&lt;30% for QSR; &lt;35% casual dining</t>
  </si>
  <si>
    <t>Food cost is the largest variable expense. Supply chain efficiency, menu engineering, and procurement scale drive this down. Companies with central kitchens and standardized menus achieve better food cost ratios.</t>
  </si>
  <si>
    <t>Restaurants are moderately capital-intensive (₹50L-2Cr per outlet for QSR). ROCE &gt;20% is achievable for mature QSR chains. Asset-light franchise models earn higher ROCE. &lt;15% means the expansion pace doesn’t justify capital deployed.</t>
  </si>
  <si>
    <t>3. Retailing</t>
  </si>
  <si>
    <t>≥20% YoY</t>
  </si>
  <si>
    <t>India’s organized retail is ~10% of total retail market ($950B). DMart, Reliance Retail, Trent are growing 20-30% through store additions and same-store growth. Massive unorganized-to-organized shift underway.</t>
  </si>
  <si>
    <t>SSSG isolates organic growth from new store openings. DMart achieves 8-12% SSSG consistently. Negative SSSG indicates traffic decline, competitive pressure, or cannibalization from own new stores.</t>
  </si>
  <si>
    <t>Revenue per Sq Ft</t>
  </si>
  <si>
    <t>≥₹30,000/sq ft/year (grocery); ≥₹15,000 (fashion)</t>
  </si>
  <si>
    <t>Store productivity metric. DMart ~₹35,000/sq ft (industry-leading). Shoppers Stop ~₹12,000. Higher rev/sq ft indicates better merchandise selection, pricing, and foot traffic conversion.</t>
  </si>
  <si>
    <t>≥15% (grocery/value); ≥45% (fashion/lifestyle)</t>
  </si>
  <si>
    <t>Grocery retail (DMart) operates on 15% gross margin but high inventory turns. Fashion retail (Trent, Shoppers Stop) earns 45-55% gross margin but lower turns. Business model determines margin vs. turnover trade-off.</t>
  </si>
  <si>
    <t>≥12x (grocery); ≥4x (fashion)</t>
  </si>
  <si>
    <t>Inventory turns measure working capital efficiency. DMart ~12-14x (fresh grocery moves fast). Fashion retailers ~3-5x (seasonal collections). High turns compensate for thin margins in value retail.</t>
  </si>
  <si>
    <t>Retail ROCE depends on the owned vs. leased model. DMart (owned stores) ~20%. Leased stores show higher ROCE on lower capital but face rental escalation risk. Private label mix improvement drives ROCE expansion.</t>
  </si>
  <si>
    <t>Oil Gas &amp; Consumable Fuels (5 industries)</t>
  </si>
  <si>
    <t>Oil &amp; Gas Exploration</t>
  </si>
  <si>
    <t>Operating Margin</t>
  </si>
  <si>
    <t>≥12% (upstream); ≥5% (downstream)</t>
  </si>
  <si>
    <t>Operating margin varies sharply — upstream (E&amp;P) benefits from high crude but downstream (refining/marketing) gets squeezed. ≥12% upstream, ≥5% downstream is healthy.</t>
  </si>
  <si>
    <t>Refining &amp; Marketing</t>
  </si>
  <si>
    <t>Crude Price Sensitivity</t>
  </si>
  <si>
    <t>Low (&lt;20% of revenue swing)</t>
  </si>
  <si>
    <t>Earnings volatility driver. Companies with hedging/subsidy pass-through (IOCs) have lower sensitivity. High sensitivity = uncontrollable earnings swings.</t>
  </si>
  <si>
    <t>Gas</t>
  </si>
  <si>
    <t>Inventory Gains/Losses</t>
  </si>
  <si>
    <t>Neutral to positive</t>
  </si>
  <si>
    <t>Refiners book inventory gains/losses as crude prices swing. Excluding this shows core operating performance. Persistent losses signal poor inventory management.</t>
  </si>
  <si>
    <t>Consumable Fuels</t>
  </si>
  <si>
    <t>Refining / GRM</t>
  </si>
  <si>
    <t>GRM ≥$6–8/bbl</t>
  </si>
  <si>
    <t>Gross Refining Margin is the profitability per barrel refined. Singapore complex GRM benchmark $6-8/bbl; Indian refiners (RIL, BPCL) target $8-12 via complexity advantage.</t>
  </si>
  <si>
    <t>Debt/Equity &lt;0.8x</t>
  </si>
  <si>
    <t>Capex-heavy sector — high leverage amplifies commodity cycle pain. Debt/Equity &lt;0.8x gives flexibility to invest through downturns without distress.</t>
  </si>
  <si>
    <t>Cash Flow from Ops</t>
  </si>
  <si>
    <t>Cash flow confirms earnings aren't just accounting gains (inventory revaluation). CFO/EBITDA &gt;70% shows real cash generation from operations.</t>
  </si>
  <si>
    <t>Capex Discipline</t>
  </si>
  <si>
    <t>Capex/CFO &lt;60%</t>
  </si>
  <si>
    <t>Measures whether capex is funded from internal cash flow. &lt;60% means growth is self-funded; &gt;80% risks overleveraging during price downturns.</t>
  </si>
  <si>
    <t>1. Oil &amp; Gas Exploration (E&amp;P)</t>
  </si>
  <si>
    <t>Reserves Replacement Ratio (RRR)</t>
  </si>
  <si>
    <t>RRR &gt;100% means the company discovers/acquires more oil than it produces, ensuring long-term production sustainability. ONGC’s RRR has been declining — key risk.</t>
  </si>
  <si>
    <t>Lifting Cost per Barrel</t>
  </si>
  <si>
    <t>&lt;$15/bbl</t>
  </si>
  <si>
    <t>All-in cost of extracting one barrel. ONGC ~$8-10/bbl, global majors $10-15. Lower lifting cost = profitable at lower crude prices. &gt;$20 = vulnerable in downcycles.</t>
  </si>
  <si>
    <t>≥5% YoY</t>
  </si>
  <si>
    <t>Revenue growth in E&amp;P is volume-driven. India’s domestic production is stagnant (~30 MMT crude/yr). Companies growing production &gt;5% YoY are gaining through new discoveries or EOR.</t>
  </si>
  <si>
    <t>Crude Realization per Barrel</t>
  </si>
  <si>
    <t>Close to Brent benchmark</t>
  </si>
  <si>
    <t>Indian E&amp;P companies (ONGC, Oil India) sell at a discount to Brent due to Govt subsidy sharing. Realization closer to Brent = less Govt intervention in pricing.</t>
  </si>
  <si>
    <t>&lt;0.5x</t>
  </si>
  <si>
    <t>E&amp;P is inherently risky (exploration failures, dry wells). Low leverage (&lt;0.5x) ensures survival through failed exploration campaigns and crude price crashes.</t>
  </si>
  <si>
    <t>Capex Allocation (Exploration vs. Development)</t>
  </si>
  <si>
    <t>Exploration ≥30% of total capex</t>
  </si>
  <si>
    <t>Under-investing in exploration leads to reserve depletion. ≥30% of capex on exploration ensures future discoveries while development capex sustains current production.</t>
  </si>
  <si>
    <t>E&amp;P companies enjoy high margins when crude is above breakeven. ONGC ~40-50% EBITDA margin. Below 30% signals excessive subsidy burden or high operating costs.</t>
  </si>
  <si>
    <t>2. Refining &amp; Marketing</t>
  </si>
  <si>
    <t>Gross Refining Margin (GRM)</t>
  </si>
  <si>
    <t>≥$8/bbl</t>
  </si>
  <si>
    <t>GRM = revenue per barrel refined minus crude cost. Singapore benchmark $5-7; complex Indian refiners (RIL $8-12, BPCL $7-9) earn premium via Nelson Complexity.</t>
  </si>
  <si>
    <t>Throughput / Capacity Utilization</t>
  </si>
  <si>
    <t>≥95%</t>
  </si>
  <si>
    <t>Refining is a fixed-cost business. &gt;95% utilization maximizes per-barrel cost absorption. Indian refineries run at 100-110% (de-bottlenecked capacity). &lt;90% wastes fixed costs.</t>
  </si>
  <si>
    <t>Marketing Margin</t>
  </si>
  <si>
    <t>≥₹3/litre (auto fuels)</t>
  </si>
  <si>
    <t>Marketing margin on petrol/diesel is the retail profit. Govt-controlled pricing impacts IOC/BPCL/HPCL. ₹3/L is healthy; &lt;₹1/L means under-recoveries eroding refining gains.</t>
  </si>
  <si>
    <t>Core GRM (excl. inventory) positive</t>
  </si>
  <si>
    <t>Crude price swings create inventory gains/losses that distort reported margins. Always look at core GRM excluding inventory effect for true refining profitability.</t>
  </si>
  <si>
    <t>Refinery Complexity (Nelson Index)</t>
  </si>
  <si>
    <t>≥10</t>
  </si>
  <si>
    <t>Higher complexity = ability to process cheaper heavy/sour crude into high-value products. RIL Jamnagar NCI ~14 (world’s most complex). Higher NCI = higher GRM premium.</t>
  </si>
  <si>
    <t>&lt;0.8x</t>
  </si>
  <si>
    <t>Refiners need capex for capacity expansion and maintenance shutdowns. Debt/Equity &lt;0.8x is manageable; &gt;1.2x strains interest coverage during low-GRM periods.</t>
  </si>
  <si>
    <t>Retail Outlet Network</t>
  </si>
  <si>
    <t>&gt;5,000 outlets</t>
  </si>
  <si>
    <t>Retail fuel outlets are last-mile distribution. IOC &gt;34,000, BPCL ~21,000. Wider network = more volume throughput + non-fuel revenue (convenience stores, EV charging).</t>
  </si>
  <si>
    <t>3. Gas</t>
  </si>
  <si>
    <t>Volume Growth (MMSCMD)</t>
  </si>
  <si>
    <t>Gas transmission/distribution is a volume game. India’s gas share in energy mix is ~6% (target 15%). GAIL transmits ~120 MMSCMD. Volume growth = revenue growth.</t>
  </si>
  <si>
    <t>Pipeline Capacity &amp; Utilization</t>
  </si>
  <si>
    <t>Utilization ≥75%</t>
  </si>
  <si>
    <t>Pipeline infrastructure is the moat. Utilization &gt;75% ensures fixed cost absorption. India has ~22,000 km gas pipeline with expansion to ~35,000 km planned.</t>
  </si>
  <si>
    <t>≥10% (gas marketing); ≥60% (transmission)</t>
  </si>
  <si>
    <t>Gas transmission earns regulated tariffs (high-margin). Gas marketing/trading is low-margin but high-volume. GAIL’s transmission EBITDA &gt;60%; overall blended ~15-20%.</t>
  </si>
  <si>
    <t>Long-term Contract Coverage</t>
  </si>
  <si>
    <t>≥70% of volume under LT contracts</t>
  </si>
  <si>
    <t>Long-term gas supply contracts (LNG import, domestic allocation) provide volume certainty. Spot gas is volatile. &gt;70% contracted = predictable revenue.</t>
  </si>
  <si>
    <t>Pipeline capex is heavy (₹5-7 Cr/km). Manageable debt ensures expansion capacity. GAIL ~0.3x is conservative; Petronet LNG ~0.4x.</t>
  </si>
  <si>
    <t>Tariff Regulation Favorability</t>
  </si>
  <si>
    <t>PNGRB-regulated with fair returns</t>
  </si>
  <si>
    <t>PNGRB sets transmission tariffs ensuring 12-14% post-tax return on equity. Favorable regulation = predictable earnings. Unfavorable tariff orders squeeze pipeline returns.</t>
  </si>
  <si>
    <t>Gas infrastructure is capital-heavy. ROCE &gt;12% is healthy given the regulated nature. Below 10% means the regulated tariff isn’t generating adequate returns on invested capital.</t>
  </si>
  <si>
    <t>4. Consumable Fuels (Coal)</t>
  </si>
  <si>
    <t>India produces ~1,000 MT coal/yr (Coal India ~700 MT). Govt target 1,500 MT by 2030. Companies growing production &gt;8% are gaining allocation and operational efficiency.</t>
  </si>
  <si>
    <t>E-Auction Premium</t>
  </si>
  <si>
    <t>≥20% above notified price</t>
  </si>
  <si>
    <t>Coal sold via e-auction earns market-linked premiums above Govt-notified price. Higher e-auction share = better realizations. Coal India e-auction ~15-20% of sales at 50-100% premium.</t>
  </si>
  <si>
    <t>&lt;₹1,800/ton</t>
  </si>
  <si>
    <t>Pit-head cost determines profitability. Coal India avg ~₹1,500-1,800/ton. OBR (overburden ratio), mechanization, and mine quality drive cost position.</t>
  </si>
  <si>
    <t>Coal mining has high operating leverage. EBITDA margin &gt;25% is healthy (Coal India ~28-32% in good years). Margin compresses when Govt restricts price hikes.</t>
  </si>
  <si>
    <t>Dispatch Efficiency</t>
  </si>
  <si>
    <t>Offtake/production ≥90%</t>
  </si>
  <si>
    <t>Coal piles up at pithead if dispatch infrastructure (railways, roads) is inadequate. Offtake ratio &gt;90% means supply chain works. &lt;80% = logistics bottleneck destroying value.</t>
  </si>
  <si>
    <t>Dividend Payout</t>
  </si>
  <si>
    <t>≥50% of PAT</t>
  </si>
  <si>
    <t>Coal companies are mature, cash-generative businesses with limited reinvestment needs. Payout &gt;50% returns cash to shareholders. Coal India’s dividend yield is 6-8%.</t>
  </si>
  <si>
    <t>5. Petrochemicals</t>
  </si>
  <si>
    <t>Cracker Spread / Delta</t>
  </si>
  <si>
    <t>Ethylene-Naphtha spread &gt;$300/ton</t>
  </si>
  <si>
    <t>Cracker spread (product price minus feedstock) is the core margin metric. Spread &gt;$300/ton is profitable; below $200 = cash-burn territory. Cyclical — peaks and troughs matter.</t>
  </si>
  <si>
    <t>Feedstock Flexibility</t>
  </si>
  <si>
    <t>Multi-feed cracker (gas + naphtha)</t>
  </si>
  <si>
    <t>Ability to switch between naphtha, ethane, propane based on which is cheapest. RIL’s dual-feed cracker gives $50-100/ton cost advantage vs. single-feed competitors.</t>
  </si>
  <si>
    <t>Petrochemical plants have high fixed costs. &gt;90% utilization ensures fixed cost absorption. RIL’s petchem complex runs at 95%+ utilization.</t>
  </si>
  <si>
    <t>Refinery-to-petchem integrated</t>
  </si>
  <si>
    <t>Integrated R2P (refinery-to-petrochemicals) captures value across the chain. RIL converts 15%+ of crude to petchem. Standalone crackers are more vulnerable to cycle swings.</t>
  </si>
  <si>
    <t>Petchem margins are cyclical (10-25%). &gt;15% through-cycle signals cost advantage. India’s per-capita polymer consumption is 11 kg vs. 40 kg global avg — structural demand growth.</t>
  </si>
  <si>
    <t>Downstream Integration</t>
  </si>
  <si>
    <t>&gt;40% revenue from specialty chemicals</t>
  </si>
  <si>
    <t>Moving from commodity polymers (PE, PP) to specialty chemicals (adhesives, coatings, surfactants) adds margin stability and reduces commodity cycle dependence.</t>
  </si>
  <si>
    <t xml:space="preserve">Fast Moving Consumer Goods (FMCG) </t>
  </si>
  <si>
    <t>Packaged Foods</t>
  </si>
  <si>
    <t>Revenue Volume Growth</t>
  </si>
  <si>
    <t>8–12% YoY (volume)</t>
  </si>
  <si>
    <t>Volume growth (not value) shows real demand. Indian FMCG leaders (HUL, Nestlé) target 8-12% volume growth; &lt;5% signals category saturation or market share loss.</t>
  </si>
  <si>
    <t>Household Products</t>
  </si>
  <si>
    <t>≥50%</t>
  </si>
  <si>
    <t>Brand power shows up in gross margin. FMCG leaders maintain &gt;50% (HUL ~57%, Nestlé ~55%). &lt;45% means weak pricing power or commodity exposure.</t>
  </si>
  <si>
    <t>Personal Care</t>
  </si>
  <si>
    <t>Asset-light business should generate high returns. Nifty FMCG cos. average 30-50% ROCE; &lt;25% suggests poor capital allocation or value-destructive acquisitions.</t>
  </si>
  <si>
    <t>Tobacco</t>
  </si>
  <si>
    <t>Pan-India, &gt;5M outlets</t>
  </si>
  <si>
    <t>Moat metric — FMCG is a distribution game. Wider reach = higher volumes per SKU = operating leverage. HUL reaches ~9M outlets; depth matters as much as breadth.</t>
  </si>
  <si>
    <t>Food Processing</t>
  </si>
  <si>
    <t>Pricing Power</t>
  </si>
  <si>
    <t>Pricing &gt; input cost inflation</t>
  </si>
  <si>
    <t>Ability to pass on raw material inflation without losing volume. True pricing power = price hikes &gt; CPI without demand destruction. Key in India's inflationary cycles.</t>
  </si>
  <si>
    <t>Beverages</t>
  </si>
  <si>
    <t>Input Cost Control</t>
  </si>
  <si>
    <t>Raw material &lt;40% of sales</t>
  </si>
  <si>
    <t>Raw material (palm oil, milk, wheat) volatility directly hits margins. Best FMCG firms keep input costs &lt;40% of sales through backward integration and hedging.</t>
  </si>
  <si>
    <t>Cash Flow Stability</t>
  </si>
  <si>
    <t>FCF/PAT ≥90%</t>
  </si>
  <si>
    <t>Low-capex model should convert nearly all profit to cash. FCF/PAT &gt;90% confirms earnings quality; &lt;70% flags working capital inefficiency or over-investment.</t>
  </si>
  <si>
    <t>1. Packaged Foods</t>
  </si>
  <si>
    <t>True demand indicator stripped of price hikes. Nestlé India ~8-10%, Britannia ~5-8%. India’s packaged food penetration ~10% vs. 60% globally — massive headroom.</t>
  </si>
  <si>
    <t>Reflects brand pricing power vs. raw material costs (wheat, milk, edible oil). Nestlé ~57%, Britannia ~40%. &lt;45% signals commodity exposure or weak brand premium.</t>
  </si>
  <si>
    <t>Market Share (in key categories)</t>
  </si>
  <si>
    <t>#1 or #2 in ≥2 categories</t>
  </si>
  <si>
    <t>Category leadership drives shelf space, distribution priority, and advertising efficiency. Market leaders in 2+ categories have compounding advantages.</t>
  </si>
  <si>
    <t>Direct reach &gt;1M outlets</t>
  </si>
  <si>
    <t>FMCG is a distribution game. Wider direct distribution = more consistent availability = higher volumes. Nestlé ~5M outlets; ITC ~6M+.</t>
  </si>
  <si>
    <t>Asset-light manufacturing with high brand value should deliver &gt;30% ROCE. Nestlé ~80%, Britannia ~40%. Below 25% signals poor capital allocation.</t>
  </si>
  <si>
    <t>New Product Contribution</t>
  </si>
  <si>
    <t>≥5% of revenue from launches &lt;3 yrs old</t>
  </si>
  <si>
    <t>Innovation drives category expansion and premiumization. 5%+ revenue from recent launches shows the company is refreshing its portfolio, not just milking old brands.</t>
  </si>
  <si>
    <t>FCF/PAT</t>
  </si>
  <si>
    <t>Packaged foods require moderate capex (factories, cold chain). FCF/PAT &gt;85% confirms earnings translate to cash. &lt;70% flags overinvestment or working capital issues.</t>
  </si>
  <si>
    <t>2. Household Products</t>
  </si>
  <si>
    <t>5–10% YoY</t>
  </si>
  <si>
    <t>Household products (detergents, cleaners) are staples with steady demand. Volume growth 5-10% indicates real demand in a mature, high-penetration category.</t>
  </si>
  <si>
    <t>≥48%</t>
  </si>
  <si>
    <t>Palm oil, LAB (surfactants) are key inputs. Gross margin &gt;48% indicates brand premium absorbing commodity volatility. HUL home care ~48-52%.</t>
  </si>
  <si>
    <t>#1 or #2 in category</t>
  </si>
  <si>
    <t>Household products are duopoly/oligopoly markets (HUL + P&amp;G + Godrej dominate). #1/#2 position = shelf space advantage and negotiation leverage with retailers.</t>
  </si>
  <si>
    <t>Price hikes &gt; input cost inflation</t>
  </si>
  <si>
    <t>Ability to raise prices without losing volume share. In inflationary periods, firms with pricing power protect gross margins; others resort to grammage cuts.</t>
  </si>
  <si>
    <t>≥35%</t>
  </si>
  <si>
    <t>Household products have low capex needs and established brands. ROCE &gt;35% is expected. HUL home care &gt;50%. &lt;30% suggests excessive ad spend or poor product mix.</t>
  </si>
  <si>
    <t>Rural Penetration</t>
  </si>
  <si>
    <t>Rural &gt;35% of revenue</t>
  </si>
  <si>
    <t>India’s rural market is the growth frontier for FMCG. Companies with &gt;35% rural revenue benefit from rising rural incomes and sachets/small-pack strategy.</t>
  </si>
  <si>
    <t>3. Personal Care</t>
  </si>
  <si>
    <t>Personal care is premiumizing rapidly in India. Revenue growth 10-15% reflects both volume gains and mix improvement. Marico ~10-12%, Dabur ~8-10%.</t>
  </si>
  <si>
    <t>≥55%</t>
  </si>
  <si>
    <t>Personal care carries highest gross margins in FMCG (brand premium on skincare, haircare). &gt;55% signals strong brand equity. HUL beauty ~60%, Colgate ~67%.</t>
  </si>
  <si>
    <t>Brand Portfolio Strength</t>
  </si>
  <si>
    <t>≥3 brands with &gt;5% market share each</t>
  </si>
  <si>
    <t>Multi-brand portfolio reduces single-brand risk. Companies with 3+ strong brands across segments (hair, skin, oral) are more resilient to category-specific disruption.</t>
  </si>
  <si>
    <t>Premiumization Index</t>
  </si>
  <si>
    <t>Premium SKUs &gt;25% of revenue</t>
  </si>
  <si>
    <t>India’s personal care market is shifting to premium/natural products. &gt;25% revenue from premium SKUs signals successful trade-up strategy and higher margins.</t>
  </si>
  <si>
    <t>D2C/E-commerce Revenue</t>
  </si>
  <si>
    <t>≥10% of revenue</t>
  </si>
  <si>
    <t>D2C channels offer higher margins (no distributor/retailer margin) and direct consumer data. &gt;10% e-commerce shows digital adoption. Mamaearth, Nykaa are D2C-native.</t>
  </si>
  <si>
    <t>Personal care is asset-light with high margins. ROCE &gt;30% is standard. Colgate ~75%, Marico ~35%. Below 25% signals acquisition-related goodwill drag or poor capex decisions.</t>
  </si>
  <si>
    <t>4. Tobacco</t>
  </si>
  <si>
    <t>Volume Stability</t>
  </si>
  <si>
    <t>Decline &lt;2% YoY</t>
  </si>
  <si>
    <t>Tobacco volumes are structurally declining (regulation + awareness). Volume decline &lt;2% is manageable as price hikes offset. ITC cigarette volumes flat to -2% but revenue grows 6-10%.</t>
  </si>
  <si>
    <t>Tobacco is a monopolistic/duopolistic market with extreme pricing power. ITC cigarettes ~65% EBITDA margin. &gt;35% overall is strong; pricing power compensates for volume decline.</t>
  </si>
  <si>
    <t>Excise/Tax Risk</t>
  </si>
  <si>
    <t>Excise hike &lt;5% per budget</t>
  </si>
  <si>
    <t>Every budget is a risk event — steep excise hikes (&gt;10%) push consumers to illicit market (28% of cigarettes are illicit). Moderate &lt;5% hikes are absorbable via pricing.</t>
  </si>
  <si>
    <t>FMCG Diversification</t>
  </si>
  <si>
    <t>Non-tobacco FMCG &gt;30% of EBITDA</t>
  </si>
  <si>
    <t>ITC’s strategy to de-risk from tobacco via FMCG, hotels, agri, paperboard. Non-tobacco EBITDA &gt;30% reduces regulatory concentration risk and improves ESG positioning.</t>
  </si>
  <si>
    <t>Free Cash Flow</t>
  </si>
  <si>
    <t>FCF yield ≥4%</t>
  </si>
  <si>
    <t>Tobacco businesses generate enormous free cash flow due to minimal capex needs. FCF yield &gt;4% provides shareholder returns via dividends/buybacks.</t>
  </si>
  <si>
    <t>≥60% of PAT</t>
  </si>
  <si>
    <t>Limited growth reinvestment needed in a declining-volume business. Payout &gt;60% signals capital discipline. ITC’s payout ~55-60% with ~3.5% dividend yield.</t>
  </si>
  <si>
    <t>5. Food Processing</t>
  </si>
  <si>
    <t>India’s food processing industry growing ~15% annually. Govt push (PLI scheme, mega food parks) supports structural growth. Companies at 12-18% are capturing this opportunity.</t>
  </si>
  <si>
    <t>Food processing operates on thin margins (agri input costs, perishability). EBITDA &gt;12% is healthy. Value-added products (spices, snacks) earn 15-20%; commodity processing &lt;8%.</t>
  </si>
  <si>
    <t>Raw Material Cost Control</t>
  </si>
  <si>
    <t>RM &lt;55% of sales</t>
  </si>
  <si>
    <t>Raw material (agri commodities) volatility is the #1 margin risk. &lt;55% RM cost signals backward integration or hedging. &gt;65% means commodity-exposed with no pricing buffer.</t>
  </si>
  <si>
    <t>&gt;50% of revenue</t>
  </si>
  <si>
    <t>Moving up the value chain (branded spices vs. raw, ready-to-eat vs. frozen) adds margin. &gt;50% value-added = defensible margins. Tata Consumer ~60%+ branded portfolio.</t>
  </si>
  <si>
    <t>Cold Chain / Supply Chain</t>
  </si>
  <si>
    <t>End-to-end cold chain</t>
  </si>
  <si>
    <t>Food processing requires unbroken cold chain (farm to shelf). Companies with own/controlled cold chain reduce wastage (India wastes ~40% of fresh produce) and ensure quality.</t>
  </si>
  <si>
    <t>Food processing is moderately capital-intensive (plants, cold storage). ROCE &gt;18% is healthy. &lt;12% suggests overinvestment in capacity without corresponding utilization.</t>
  </si>
  <si>
    <t>6. Beverages</t>
  </si>
  <si>
    <t>India’s non-alcoholic beverage market growing ~15% CAGR. Low per-capita consumption (vs. global) = long runway. Varun Beverages, Tata Consumer are key plays.</t>
  </si>
  <si>
    <t>Beverages enjoy high gross margins (water is the main ingredient). Varun Beverages ~55%, United Spirits ~45%. &lt;45% suggests commoditized portfolio or high input costs.</t>
  </si>
  <si>
    <t>10–15% YoY (cases sold)</t>
  </si>
  <si>
    <t>Volume growth strips out pricing effects and shows real demand expansion. Varun Beverages volumes growing 15-20% driven by geographic expansion and new SKUs.</t>
  </si>
  <si>
    <t>Distribution / Cooler Network</t>
  </si>
  <si>
    <t>≥500K outlets; cooler reach critical</t>
  </si>
  <si>
    <t>Beverage sales are impulse-driven. Cooler/chiller availability at point of sale directly drives conversion. Wider distribution + more coolers = more impulse purchases.</t>
  </si>
  <si>
    <t>Scale-driven business with operating leverage. EBITDA &gt;20% indicates efficient bottling and distribution. Varun Beverages ~22-24%. &lt;15% = sub-scale or high distribution costs.</t>
  </si>
  <si>
    <t>≥22%</t>
  </si>
  <si>
    <t>Beverage bottling requires moderate capex (bottling lines, cold chain). ROCE &gt;22% is healthy for the sector. Below 18% means capacity isn’t being utilized efficiently.</t>
  </si>
  <si>
    <t>Financial Services (16 industries)</t>
  </si>
  <si>
    <t>Banks</t>
  </si>
  <si>
    <t>Finance</t>
  </si>
  <si>
    <t>Capital is the raw material; ROE &gt;15% signals efficient equity deployment vs. cost of equity (~12-14% in India). Top Nifty Bank cos. average 14-17% ROE.</t>
  </si>
  <si>
    <t>Insurance</t>
  </si>
  <si>
    <t>≥3%</t>
  </si>
  <si>
    <t>Core earnings engine — measures spread between lending and borrowing rates. NIM &gt;3% is healthy for Indian banks; NBFCs/HFCs target 2.5-4%.</t>
  </si>
  <si>
    <t>Capital Markets</t>
  </si>
  <si>
    <t>Asset Quality (GNPA/NNPA)</t>
  </si>
  <si>
    <t>GNPA &lt;2%, NNPA &lt;1%</t>
  </si>
  <si>
    <t>Survival metric — high NPAs erode capital and require provisions that destroy profits. RBI benchmark: system GNPA ~3%; well-run banks &lt;2%.</t>
  </si>
  <si>
    <t>Financial Services (Others)</t>
  </si>
  <si>
    <t>Capital Adequacy (CAR)</t>
  </si>
  <si>
    <t>≥16% (Basel III)</t>
  </si>
  <si>
    <t>Regulatory floor (Basel III ~11.5% incl. buffers). CAR &gt;16% gives room for aggressive credit growth without dilution.</t>
  </si>
  <si>
    <t>Credit Rating Agencies</t>
  </si>
  <si>
    <t>Credit Growth</t>
  </si>
  <si>
    <t>Revenue growth proxy for lenders. India system credit growth ~15-16% YoY; banks growing faster gain market share without quality dilution.</t>
  </si>
  <si>
    <t>Asset Management Companies</t>
  </si>
  <si>
    <t>Cost-to-Income</t>
  </si>
  <si>
    <t>&lt;45%</t>
  </si>
  <si>
    <t>Measures how much of income is consumed by operations. Best-in-class Indian banks &lt;40%; &gt;55% signals bloated cost structure.</t>
  </si>
  <si>
    <t>Housing Finance</t>
  </si>
  <si>
    <t>CASA / Persistency (Insurance)</t>
  </si>
  <si>
    <t>CASA &gt;40%, Persistency &gt;85%</t>
  </si>
  <si>
    <t>CASA provides low-cost stable funding (saves 200-300 bps vs. term deposits). For insurance, &gt;85% persistency means sticky policyholders and lower acquisition costs.</t>
  </si>
  <si>
    <t>NBFCs</t>
  </si>
  <si>
    <t xml:space="preserve">Slippage ratio </t>
  </si>
  <si>
    <t>&lt;1%</t>
  </si>
  <si>
    <t>Measures fresh slippages (new NPAs) as a % of opening standard advances. &lt;1% indicates tight underwriting and early warning systems; &gt;2% signals deteriorating asset quality or stress in specific segments.</t>
  </si>
  <si>
    <t>Broking</t>
  </si>
  <si>
    <t>Exchanges</t>
  </si>
  <si>
    <t>Custodians</t>
  </si>
  <si>
    <t>1. Banks</t>
  </si>
  <si>
    <t>Clearing Corporations</t>
  </si>
  <si>
    <t>Investment Companies</t>
  </si>
  <si>
    <t>Banks are equity-leveraged businesses (10-12x leverage). ROE &gt;15% means the bank earns above its cost of equity; top PSBs 12-14%, top private banks 15-18%.</t>
  </si>
  <si>
    <t>Microfinance</t>
  </si>
  <si>
    <t>≥3.0% (private); ≥2.8% (PSU)</t>
  </si>
  <si>
    <t>Core spread income. Private banks (HDFC ~4.1%, Kotak ~5.2%) lead; PSBs 2.8-3.2%. Below 2.5% means funding cost disadvantage or aggressive pricing.</t>
  </si>
  <si>
    <t>Fintech &amp; Digital Lending</t>
  </si>
  <si>
    <t>Asset Quality (GNPA / NNPA)</t>
  </si>
  <si>
    <t>GNPA &lt;2%, NNPA &lt;0.5%</t>
  </si>
  <si>
    <t>Single biggest risk for banks. Every 1% rise in GNPA requires ~60-70 bps of provisions that directly eat into profits. Top private banks &lt;1.5% GNPA.</t>
  </si>
  <si>
    <t>CASA (Current Account + Savings Account) deposits cost 3-4% vs. term deposits at 6-7%. Higher CASA = lower cost of funds = wider NIM. HDFC ~38%, Kotak ~52%.</t>
  </si>
  <si>
    <t>Capital Adequacy Ratio (CAR)</t>
  </si>
  <si>
    <t>RBI minimum 11.5% (incl. buffers). CAR &gt;16% gives headroom for 18-20% credit growth without dilution. Under-capitalized banks must raise equity at unfavorable terms.</t>
  </si>
  <si>
    <t>15-20% YoY</t>
  </si>
  <si>
    <t>Loan book growth drives revenue growth for banks. System credit ~15-16% YoY. Banks growing above system gain market share; &lt;10% means losing relevance.</t>
  </si>
  <si>
    <t>&lt;42%</t>
  </si>
  <si>
    <t>Operating leverage metric. Best private banks ~38-42%; PSBs 48-55%. Digital adoption (lower branch costs) is key driver. &gt;55% = bloated cost base.</t>
  </si>
  <si>
    <t>Buffer against future NPA shocks. PCR &gt;70% means the bank has already set aside provisions for most bad loans. &lt;60% = vulnerable to write-off spikes.</t>
  </si>
  <si>
    <t>2. Insurance</t>
  </si>
  <si>
    <t>Value of New Business (VNB) Margin</t>
  </si>
  <si>
    <t>≥25% (life)</t>
  </si>
  <si>
    <t>Measures profitability of new policies sold. VNB margin &gt;25% means each new policy creates substantial embedded value. SBI Life ~28%, HDFC Life ~26%.</t>
  </si>
  <si>
    <t>Persistency Ratio (13th month)</t>
  </si>
  <si>
    <t>Measures policy renewal rate after 1 year. &gt;85% means sticky customers and lower re-acquisition costs. &lt;80% signals misselling or poor product fit.</t>
  </si>
  <si>
    <t>Combined Ratio (General Insurance)</t>
  </si>
  <si>
    <t>&lt;100% (ideally &lt;95%)</t>
  </si>
  <si>
    <t>Claims + expenses as % of premiums. &lt;100% = underwriting profit. &lt;95% is strong. Indian general insurers average 100-110%; &lt;100% is a competitive advantage.</t>
  </si>
  <si>
    <t>APE / GWP Growth</t>
  </si>
  <si>
    <t>Annualized Premium Equivalent (life) / Gross Written Premium (general) growth. India's insurance penetration is ~4.2% vs. 7% global avg — large runway supports 15%+ growth.</t>
  </si>
  <si>
    <t>Solvency Ratio</t>
  </si>
  <si>
    <t>≥180%</t>
  </si>
  <si>
    <t>IRDAI minimum is 150%. Solvency &gt;180% gives buffer for adverse claims and growth without capital raising. &lt;160% constrains new business writing.</t>
  </si>
  <si>
    <t>Embedded Value Growth</t>
  </si>
  <si>
    <t>Embedded Value = adjusted net worth + value of in-force book. EV growth &gt;15% confirms the business is compounding intrinsic value, not just chasing topline.</t>
  </si>
  <si>
    <t>Investment Yield</t>
  </si>
  <si>
    <t>≥7.5% (life); ≥8% (general)</t>
  </si>
  <si>
    <t>Insurance float generates investment income. Higher yield on bond/equity portfolio boosts overall profitability. Life insurers hold longer-duration assets for ALM matching.</t>
  </si>
  <si>
    <t>3. NBFCs</t>
  </si>
  <si>
    <t>ROE</t>
  </si>
  <si>
    <t>Similar to banks but NBFCs operate with higher leverage (4-7x). ROE &gt;15% signals efficient equity deployment. Bajaj Finance ~22%, Shriram ~16%.</t>
  </si>
  <si>
    <t>Spread (NIM Equivalent)</t>
  </si>
  <si>
    <t>≥5% (retail); ≥3% (wholesale)</t>
  </si>
  <si>
    <t>NBFCs lack CASA advantage so must earn higher spreads to compensate for wholesale borrowing costs. Retail NBFCs target 5-8%; wholesale 2-4%.</t>
  </si>
  <si>
    <t>Asset Quality (GNPA)</t>
  </si>
  <si>
    <t>GNPA &lt;3%</t>
  </si>
  <si>
    <t>NBFCs lend to underserved segments (higher risk). GNPA &lt;3% is well-managed. Microfinance/unsecured NBFCs may run 3-5% but need higher spreads to compensate.</t>
  </si>
  <si>
    <t>ALM (Asset-Liability Mismatch)</t>
  </si>
  <si>
    <t>Positive mismatch in all buckets</t>
  </si>
  <si>
    <t>NBFCs borrow short and lend long — ALM mismatch risk caused IL&amp;FS/DHFL crisis. Positive mismatch (assets maturing before liabilities) in each bucket is critical for survival.</t>
  </si>
  <si>
    <t>Cost of Borrowing</t>
  </si>
  <si>
    <t>&lt;8.5% (AAA-rated)</t>
  </si>
  <si>
    <t>No deposit franchise = market borrowing. AAA-rated NBFCs borrow at 7.5-8.5%; lower-rated at 9-11%. Each 50 bps lower cost = direct NIM pickup.</t>
  </si>
  <si>
    <t>AUM Growth</t>
  </si>
  <si>
    <t>Assets Under Management growth drives revenue. NBFCs targeting 20%+ AUM growth are gaining market share in their lending segments vs. banks.</t>
  </si>
  <si>
    <t>Diversification of Borrowing</t>
  </si>
  <si>
    <t>≥4 sources; no single &gt;40%</t>
  </si>
  <si>
    <t>Concentration in one funding source (CPs, bonds, bank lines) creates refinancing risk. Diversified borrowing base ensures liquidity even during credit market stress.</t>
  </si>
  <si>
    <t>Capital Adequacy</t>
  </si>
  <si>
    <t>RBI mandates 15% for NBFCs. &gt;20% provides growth buffer and signals to lenders that the NBFC is well-capitalized, ensuring lower borrowing costs.</t>
  </si>
  <si>
    <t>4. Housing Finance</t>
  </si>
  <si>
    <t>Spread / NIM</t>
  </si>
  <si>
    <t>2.5–3.5%</t>
  </si>
  <si>
    <t>Home loans are low-yield (8.5-9.5%) secured assets. NIM of 2.5-3.5% is healthy. &lt;2% means the HFC is competing purely on rates and destroying value.</t>
  </si>
  <si>
    <t>GNPA &lt;2%</t>
  </si>
  <si>
    <t>Mortgage-backed lending should have low NPAs due to collateral. GNPA &lt;2% is healthy; &gt;3% signals underwriting issues. HDFC Ltd (pre-merger) maintained &lt;1.5%.</t>
  </si>
  <si>
    <t>Disbursement Growth</t>
  </si>
  <si>
    <t>New loan disbursements drive AUM growth. India's housing shortage (~10M urban units) supports structural demand. HFCs growing 18%+ gain market share vs. bank home loans.</t>
  </si>
  <si>
    <t>HFCs operate at 8-12x leverage. ROE &gt;14% is healthy for the low-risk mortgage business. Below 12% means the spread doesn’t justify the capital locked.</t>
  </si>
  <si>
    <t>Cost of Funds</t>
  </si>
  <si>
    <t>&lt;8%</t>
  </si>
  <si>
    <t>HFCs rely on NHB refinance, bonds, and bank lines. Lower cost of funds = wider spread on the same home loan rate. AAA-rated HFCs borrow at 7.5-8%.</t>
  </si>
  <si>
    <t>LTV Ratio (Loan-to-Value)</t>
  </si>
  <si>
    <t>&lt;75% avg portfolio</t>
  </si>
  <si>
    <t>Conservative LTV (&lt;75%) means the collateral cushion absorbs price declines. NHB allows up to 90% for small loans but portfolio avg &lt;75% is prudent.</t>
  </si>
  <si>
    <t>Affordable Housing Mix</t>
  </si>
  <si>
    <t>&gt;40% of disbursements</t>
  </si>
  <si>
    <t>Affordable housing (&lt;₹35L ticket) enjoys Govt push (PMAY subsidy, tax benefits, priority sector lending). Higher mix = structural demand support + regulatory tailwind.</t>
  </si>
  <si>
    <t>5. Capital Markets</t>
  </si>
  <si>
    <t>Capital market revenues are linked to market turnover, AUM growth, and IPO activity. 15%+ growth captures structural shift — India’s demat accounts grew from 4Cr to 18Cr+ in 5 years.</t>
  </si>
  <si>
    <t>Capital market intermediaries are asset-light, high-margin businesses. &gt;35% EBIT margin is healthy; exchanges/rating agencies can exceed 50% due to monopolistic/oligopolistic structure.</t>
  </si>
  <si>
    <t>Low capital intensity means ROCE should be high. CRISIL &gt;40%, BSE/CDSL &gt;25%. &lt;20% signals poor cost control or undermonetized business segments.</t>
  </si>
  <si>
    <t>Market Share / Moat</t>
  </si>
  <si>
    <t>These are winner-take-most businesses with network effects (exchanges) or regulatory barriers (rating agencies, depositories). Market leadership compounds — challengers struggle to dislodge.</t>
  </si>
  <si>
    <t>Zero SEBI penalties</t>
  </si>
  <si>
    <t>SEBI is an active regulator. Penalties, restrictions, or license revocations can permanently impair the business. Clean regulatory record is a prerequisite, not a bonus.</t>
  </si>
  <si>
    <t>Technology &amp; Digital Platform</t>
  </si>
  <si>
    <t>Digital &gt;70% of transactions</t>
  </si>
  <si>
    <t>Shift to digital reduces marginal cost to near-zero. Firms with &gt;70% digital transactions enjoy operating leverage — each new user adds revenue with negligible cost.</t>
  </si>
  <si>
    <t>Dividend Payout / FCF Yield</t>
  </si>
  <si>
    <t>Payout ≥50%; FCF yield ≥3%</t>
  </si>
  <si>
    <t>Asset-light businesses with limited reinvestment needs should return excess cash. Payout &gt;50% signals capital discipline; &lt;30% suggests cash hoarding or poor allocation.</t>
  </si>
  <si>
    <t>6. Asset Management Companies (AMCs)</t>
  </si>
  <si>
    <t>Revenue = AUM × fee rate. AUM growth driven by net inflows + market returns. India MF AUM ~₹65L Cr growing 20%+ annually. SIP flows alone &gt;₹24,000 Cr/month.</t>
  </si>
  <si>
    <t>Equity AUM Mix</t>
  </si>
  <si>
    <t>≥55% of total AUM</t>
  </si>
  <si>
    <t>Equity AUM earns 60-80 bps fee vs. debt at 15-25 bps. Higher equity mix = higher blended TER. HDFC AMC ~68% equity, Nippon ~52%.</t>
  </si>
  <si>
    <t>AMCs are ultra-asset-light (no balance sheet risk). Operating margins of 40-55% are achievable at scale. &lt;35% suggests excessive distribution costs or poor product mix.</t>
  </si>
  <si>
    <t>SIP Book (Flows)</t>
  </si>
  <si>
    <t>Sticky SIP AUM &gt;30% of equity AUM</t>
  </si>
  <si>
    <t>SIP inflows are recurring, predictable revenue. Sticky SIP book provides downside protection in bear markets when lump-sum inflows dry up.</t>
  </si>
  <si>
    <t>Top 5 by AUM</t>
  </si>
  <si>
    <t>India’s MF industry is concentrating — top 5 AMCs control ~55% of AUM. Scale = distribution leverage + brand trust + lower cost ratios.</t>
  </si>
  <si>
    <t>Fund Performance</t>
  </si>
  <si>
    <t>&gt;50% of schemes beat benchmark (3Y)</t>
  </si>
  <si>
    <t>Performance drives inflows. AMCs where &gt;50% of schemes outperform their benchmark over 3 years attract organic net inflows; persistent underperformance leads to redemptions.</t>
  </si>
  <si>
    <t>Unique Investors Growth</t>
  </si>
  <si>
    <t>India has ~5Cr unique MF investors vs. ~18Cr demat accounts. Unique investor growth signals new-to-market customers, expanding the total addressable market beyond existing investors.</t>
  </si>
  <si>
    <t>7. Broking</t>
  </si>
  <si>
    <t>Active Client Growth</t>
  </si>
  <si>
    <t>Active clients (traded in last month) drive revenue, not total demat accounts. Zerodha ~7M, Groww ~12M active. Growth rate signals market share and engagement trajectory.</t>
  </si>
  <si>
    <t>ARPU (Avg Revenue Per User)</t>
  </si>
  <si>
    <t>≥₹250/month</t>
  </si>
  <si>
    <t>Revenue per active user measures monetization. Discount brokers ₹150-300/month; full-service ₹500-1000. ARPU × active clients = total revenue; both must grow.</t>
  </si>
  <si>
    <t>Platform businesses with tech leverage should achieve &gt;35% EBIT margins at scale. ICICI Securities ~35%, Angel One ~30%. &lt;25% means high customer acquisition cost drag.</t>
  </si>
  <si>
    <t>F&amp;O vs. Cash Mix</t>
  </si>
  <si>
    <t>Diversified (F&amp;O &lt;70% of revenue)</t>
  </si>
  <si>
    <t>Over-reliance on F&amp;O revenue is risky — SEBI regulatory actions (lot size changes, margin rules) can disrupt. Diversified revenue (MF distribution, MTF, IPO) is safer.</t>
  </si>
  <si>
    <t>Customer Acquisition Cost (CAC)</t>
  </si>
  <si>
    <t>CAC &lt; 6-month ARPU</t>
  </si>
  <si>
    <t>CAC payback period signals unit economics. If CAC recovers in &lt;6 months, each new client is value-accretive quickly. &gt;12 months = burning cash for growth.</t>
  </si>
  <si>
    <t>Technology Platform Quality</t>
  </si>
  <si>
    <t>&gt;99.9% uptime; low latency</t>
  </si>
  <si>
    <t>Platform reliability is critical during high-volume trading sessions. Outages cause client churn and regulatory penalties. In-house tech (vs. vendor) gives edge.</t>
  </si>
  <si>
    <t>Asset-light broking model should generate very high ROCE. &gt;30% is achievable at scale; &lt;20% means either the margin is thin or capital is tied up in MTF book inefficiently.</t>
  </si>
  <si>
    <t>8. Exchanges</t>
  </si>
  <si>
    <t>Average Daily Turnover (ADTV)</t>
  </si>
  <si>
    <t>≥20% YoY growth</t>
  </si>
  <si>
    <t>Transaction revenue is directly linked to trading volumes. NSE’s equity ADTV &gt;&gt;₹1L Cr. Higher turnover = more transaction fees, clearing charges, and listing revenue.</t>
  </si>
  <si>
    <t>Exchanges are natural monopolies/duopolies with massive operating leverage. BSE ~30%, NSE &gt;60% (estimated). Marginal cost of processing one more trade is near-zero.</t>
  </si>
  <si>
    <t>Dominant in ≥1 segment</t>
  </si>
  <si>
    <t>Network effects create winner-take-all dynamics. NSE ~93% of equity derivatives. BSE dominates SME IPOs. Market leadership in any segment is a durable moat.</t>
  </si>
  <si>
    <t>&gt;3 revenue streams</t>
  </si>
  <si>
    <t>Over-reliance on one product (e.g., F&amp;O transaction charges) is regulatory risk. Diversification into data services, co-location, listing fees, mutual fund platform reduces concentration.</t>
  </si>
  <si>
    <t>Technology Infrastructure</t>
  </si>
  <si>
    <t>&lt;1ms latency; 99.99% uptime</t>
  </si>
  <si>
    <t>Exchange uptime and latency are non-negotiable. Any outage affects millions of participants and invites regulatory penalties. NSE’s co-location controversy shows reputational risk from tech issues.</t>
  </si>
  <si>
    <t>Treasury Income Yield</t>
  </si>
  <si>
    <t>≥6.5% on settlement corpus</t>
  </si>
  <si>
    <t>Exchanges hold large settlement guarantee funds (SGF) and margin deposits. Treasury yield on this corpus (₹50,000+ Cr for NSE) is a significant income stream at near-zero risk.</t>
  </si>
  <si>
    <t>9. Credit Rating Agencies</t>
  </si>
  <si>
    <t>Revenue grows with corporate bond issuance, bank loan ratings (RBI mandated), and surveillance fees. India’s bond market deepening drives structural 15%+ growth.</t>
  </si>
  <si>
    <t>Rating agencies are opinion businesses — zero balance sheet risk, minimal capex. CRISIL ~38-42%, ICRA ~35%. &gt;40% reflects pricing power and operating leverage at scale.</t>
  </si>
  <si>
    <t>Market Share (by mandates)</t>
  </si>
  <si>
    <t>Top 2 in India</t>
  </si>
  <si>
    <t>CRISIL (S&amp;P subsidiary) and ICRA (Moody’s) dominate. Market share in rating mandates = recurring surveillance revenue. Oligopolistic structure protects margins.</t>
  </si>
  <si>
    <t>Asset-light, knowledge-based business. ROCE &gt;40% is standard for rating agencies globally (Moody’s &gt;50%). &lt;30% signals cost bloat or unprofitable diversification.</t>
  </si>
  <si>
    <t>Ratings Accuracy / Default Track Record</t>
  </si>
  <si>
    <t>Default rate consistent with assigned ratings</t>
  </si>
  <si>
    <t>Post-IL&amp;FS, regulatory scrutiny on rating quality intensified. Agencies with low unexpected default rates retain credibility and mandates. One major miss = reputational damage.</t>
  </si>
  <si>
    <t>Non-Rating Revenue Mix</t>
  </si>
  <si>
    <t>≥30% from research/advisory</t>
  </si>
  <si>
    <t>Diversification into research, risk solutions, and ESG services reduces cyclical dependence on bond issuance volumes. CRISIL’s research business provides stable, recurring revenue.</t>
  </si>
  <si>
    <t>10. Custodians &amp; Clearing Corporations</t>
  </si>
  <si>
    <t>Assets Under Custody (AUC) Growth</t>
  </si>
  <si>
    <t>AUC drives custody fees. CDSL/NSDL benefit from rising demat accounts (18Cr+ total). More accounts = more annual maintenance + transaction charges.</t>
  </si>
  <si>
    <t>Transaction Volume Growth</t>
  </si>
  <si>
    <t>Settlement and clearing volumes drive per-transaction revenue. FPI custody, MF settlement, and corporate action processing all contribute. Volume is the key revenue lever.</t>
  </si>
  <si>
    <t>Technology-heavy, people-light businesses with scale advantages. CDSL ~65% EBIT margin. High operating leverage — incremental revenue flows to bottom line.</t>
  </si>
  <si>
    <t>Asset-light infrastructure with regulatory moat. CDSL ROCE &gt;35%. High capital returns justify premium valuations as the business scales with India’s capital market deepening.</t>
  </si>
  <si>
    <t>Dominant in segment</t>
  </si>
  <si>
    <t>CDSL vs. NSDL duopoly in depository; NSE Clearing dominates clearing. Market share is sticky due to switching costs and regulatory barriers to new entrants.</t>
  </si>
  <si>
    <t>Settlement Risk Management</t>
  </si>
  <si>
    <t>Zero settlement failures</t>
  </si>
  <si>
    <t>Clearing corps guarantee trade settlement. Any failure is systemic risk. Track record of zero default days and robust settlement guarantee fund (SGF) is non-negotiable.</t>
  </si>
  <si>
    <t>11. Diversified Financial Services</t>
  </si>
  <si>
    <t>Consolidated ROE</t>
  </si>
  <si>
    <t>Diversified financials (Bajaj Finserv, L&amp;T Finance) must generate consolidated ROE &gt;15% across lending, insurance, and wealth segments to justify conglomerate structure.</t>
  </si>
  <si>
    <t>Cross-Sell Ratio</t>
  </si>
  <si>
    <t>≥2 products per customer</t>
  </si>
  <si>
    <t>Justification for diversification is cross-selling. If each customer uses ≥2 products, the conglomerate adds value vs. standalone entities. &lt;1.5 means the subsidiaries operate in silos.</t>
  </si>
  <si>
    <t>Subsidiary Valuations</t>
  </si>
  <si>
    <t>SOTP &gt; market cap (no holdco discount)</t>
  </si>
  <si>
    <t>Sum-of-the-parts should exceed holding company market cap. Persistent holdco discount (&gt;20%) means market doesn’t value the diversification — simplification may unlock value.</t>
  </si>
  <si>
    <t>Revenue Diversification</t>
  </si>
  <si>
    <t>No single segment &gt;50% of revenue</t>
  </si>
  <si>
    <t>If one segment dominates (&gt;50%), the “diversified” label adds complexity without benefit. True diversification = balanced contribution from lending, insurance, asset mgmt, etc.</t>
  </si>
  <si>
    <t>Capital Allocation Track Record</t>
  </si>
  <si>
    <t>ROIC &gt; WACC across all segments</t>
  </si>
  <si>
    <t>The parent must allocate capital efficiently across subsidiaries. Every segment should earn ROIC above WACC; otherwise, capital is being subsidized from profitable segments to weak ones.</t>
  </si>
  <si>
    <t>Regulatory Compliance (Multi-entity)</t>
  </si>
  <si>
    <t>Zero material observations across entities</t>
  </si>
  <si>
    <t>Diversified financials face multiple regulators (RBI, IRDAI, SEBI, NHB). Compliance failure in any subsidiary impacts group reputation and can trigger regulatory contagion.</t>
  </si>
  <si>
    <t>Digital Ecosystem / Platform</t>
  </si>
  <si>
    <t>Single app/platform serving all products</t>
  </si>
  <si>
    <t>Unified digital platform reduces acquisition costs and enables cross-sell. Bajaj Finserv app, Paytm, and PhonePe models show platform approach to financial services distribution.</t>
  </si>
  <si>
    <t>12. Investment Companies</t>
  </si>
  <si>
    <t>NAV Growth</t>
  </si>
  <si>
    <t>≥ Nifty 50 CAGR over 5 years</t>
  </si>
  <si>
    <t>Investment companies (holding cos like Tata Investment Corp, Bajaj Holdings) are valued on their portfolio NAV. NAV growth should at minimum match Nifty 50 to justify holding.</t>
  </si>
  <si>
    <t>Holdco Discount</t>
  </si>
  <si>
    <t>&lt;30% discount to NAV</t>
  </si>
  <si>
    <t>Market typically discounts holding companies 30-60% to NAV. &lt;30% discount signals market trust in management; &gt;50% means the structure destroys value vs. direct ownership.</t>
  </si>
  <si>
    <t>Dividend Income / Yield</t>
  </si>
  <si>
    <t>Dividend yield ≥2%</t>
  </si>
  <si>
    <t>Investment companies earn dividends from portfolio holdings. Dividend yield &gt;2% provides tangible return while waiting for NAV discount to narrow.</t>
  </si>
  <si>
    <t>Portfolio Quality</t>
  </si>
  <si>
    <t>&gt;80% in listed, liquid large/mid-caps</t>
  </si>
  <si>
    <t>Concentrated in blue-chip, liquid stocks = transparent, realizable NAV. Unlisted or illiquid holdings are hard to value and realize, widening the holdco discount.</t>
  </si>
  <si>
    <t>Capital Allocation / Monetization</t>
  </si>
  <si>
    <t>Active portfolio management</t>
  </si>
  <si>
    <t>Passive holding cos that never monetize or reallocate underperform. Active management (booking profits, reallocating to higher-return opportunities) narrows discount over time.</t>
  </si>
  <si>
    <t>13. Microfinance</t>
  </si>
  <si>
    <t>Portfolio at Risk (PAR 30+)</t>
  </si>
  <si>
    <t>&lt;3%</t>
  </si>
  <si>
    <t>PAR 30+ (loans overdue &gt;30 days) is the early warning metric for MFIs. &lt;3% is healthy; &gt;5% signals regional stress or over-lending. Microfinance NPAs spike fast due to group lending dynamics.</t>
  </si>
  <si>
    <t>Yield on Portfolio</t>
  </si>
  <si>
    <t>18–22%</t>
  </si>
  <si>
    <t>MFI lending rates are RBI-regulated (benchmark + spread cap). Yield of 18-22% covers high operating costs (doorstep collections) and credit losses while staying within regulatory caps.</t>
  </si>
  <si>
    <t>Operating Expense Ratio</t>
  </si>
  <si>
    <t>&lt;6% of avg loan book</t>
  </si>
  <si>
    <t>MFIs have high operating costs (field officers, cash handling, group meetings). &lt;6% opex ratio signals operational efficiency; &gt;8% means the cost structure isn’t scalable.</t>
  </si>
  <si>
    <t>No single state &gt;25% of AUM</t>
  </si>
  <si>
    <t>State-level political risk (loan waivers, Andhra crisis 2010) can wipe out portfolios. Diversification across ≥8 states limits single-state exposure. CreditAccess, Fusion spread across 15+ states.</t>
  </si>
  <si>
    <t>MFIs need high ROE to attract growth capital. 15%+ ROE is achievable with 18-22% yields, &lt;3% credit costs, and 4-5x leverage. Below 12% signals structural unprofitability.</t>
  </si>
  <si>
    <t>Borrower Retention / Repeat Loans</t>
  </si>
  <si>
    <t>Repeat borrowers are lower-risk (proven repayment history) and lower-cost to acquire. &gt;75% retention = healthy portfolio quality and customer satisfaction with loan terms.</t>
  </si>
  <si>
    <t>RBI requires 15% for NBFC-MFIs. &gt;20% provides buffer for growth and absorbs NPA shocks. Under-capitalized MFIs face lending restrictions and higher borrowing costs.</t>
  </si>
  <si>
    <t>14. Finance (Development Finance Institutions)</t>
  </si>
  <si>
    <t>DFIs (PFC, REC, IREDA, SIDBI) are leveraged institutions lending to infrastructure/priority sectors. ROE &gt;14% signals the spread over cost of equity is adequate. PFC/REC typically achieve 15-18% ROE due to high leverage (7-10x) on thin NIMs.</t>
  </si>
  <si>
    <t>≥2.5%</t>
  </si>
  <si>
    <t>DFIs borrow at sovereign/near-sovereign rates (bonds, RBI facilities) and lend to DISCOMs, RE developers, and PSUs. NIM of 2.5-3.5% is healthy. Below 2% signals aggressive pricing to maintain market share or rising borrowing costs. PFC ~3.2%, REC ~3.0%.</t>
  </si>
  <si>
    <t>DFI lending is concentrated in power/infrastructure — inherently lumpy and exposed to DISCOM financial health. GNPA &lt;3% indicates disciplined underwriting. PFC/REC saw GNPA spike to &gt;6% during DISCOM stress (2018-19); Govt reforms (UDAY, LPS scheme) brought it below 3%. Single large borrower default can spike GNPA significantly given concentrated loan books.</t>
  </si>
  <si>
    <t>DFI loan growth tracks infrastructure capex cycle. India's ₹111 lakh Cr NIP (National Infrastructure Pipeline) and 500 GW RE target drive structural lending demand. PFC/REC targeting 12-15% loan growth. IREDA (green energy DFI) growing at 25%+ as RE financing surges.</t>
  </si>
  <si>
    <t>&lt;7.5%</t>
  </si>
  <si>
    <t>DFIs borrow through bonds, ECBs, and institutional credit. AAA-rated DFIs (PFC, REC) borrow at 7-7.5% vs. NBFCs at 8.5-9.5%. Each 25 bps lower cost directly expands NIM. Sovereign backing and tax-free bond issuance give DFIs structural borrowing cost advantage over private lenders.</t>
  </si>
  <si>
    <t>Capital Adequacy (CRAR)</t>
  </si>
  <si>
    <t>RBI mandates 15% CRAR for infrastructure finance companies. &gt;18% provides buffer for accelerated lending growth without equity dilution. DFIs with strong capital positions can grow loan books 15-20% organically vs. capital-constrained peers requiring frequent bond/equity issuance.</t>
  </si>
  <si>
    <t>Sectoral Concentration Risk</t>
  </si>
  <si>
    <t>No single sector &gt;50% of loan book</t>
  </si>
  <si>
    <t>PFC/REC have 90%+ exposure to power sector — extreme concentration risk. IREDA is 100% renewable energy. SIDBI is diversified across MSME segments. Diversification across power, roads, railways, telecom, RE reduces correlation of defaults. Single-sector DFIs must compensate with superior asset quality monitoring.</t>
  </si>
  <si>
    <t>15. Financial Services (Others)</t>
  </si>
  <si>
    <t>Financial Services (Others) includes payment processors, fintech infrastructure, financial data providers, and niche financial intermediaries. Revenue growth &gt;15% signals product adoption and market expansion. India's financial digitization (UPI &gt;12B monthly transactions) drives structural demand for payment rails, KYC/AML solutions, and credit infrastructure.</t>
  </si>
  <si>
    <t>Technology-driven financial services (payment gateways, account aggregators, credit bureaus) are asset-light with high operating leverage. Operating margins &gt;20% indicate pricing power and scale advantages. Companies below 15% may be subsidizing customer acquisition through discounted pricing or have high fixed costs not yet absorbed by revenue.</t>
  </si>
  <si>
    <t>Asset-light financial services models should generate high ROCE (&gt;18%) because capital employed is minimal. Credit bureaus (CIBIL/TransUnion), payment networks, and financial data companies operate with low working capital and negligible fixed assets. ROCE below 15% signals poor monetization of the business model or excessive investment in unproven verticals.</t>
  </si>
  <si>
    <t>Payment processors, registrars, and financial intermediaries earn per-transaction fees. Volume growth &gt;20% indicates expanding market adoption. UPI transaction volumes are growing 40-50% YoY; companies processing these flows (payment aggregators, settlement platforms) benefit directly from digital payment penetration.</t>
  </si>
  <si>
    <t>Customer / Client Retention</t>
  </si>
  <si>
    <t>&gt;90% annual retention</t>
  </si>
  <si>
    <t>Financial infrastructure companies (registrars, depositories, KYC providers) benefit from high switching costs — integration complexity and regulatory requirements make it costly to change providers. Retention &gt;90% signals product stickiness and client satisfaction. Below 80% indicates competitive pressure or service quality issues.</t>
  </si>
  <si>
    <t>Zero material SEBI/RBI penalties</t>
  </si>
  <si>
    <t>Financial services intermediaries face multi-regulator oversight (SEBI, RBI, IRDAI). Regulatory compliance is a prerequisite for license retention. Companies with clean compliance records maintain operational continuity; regulatory penalties or license restrictions can permanently impair the business model.</t>
  </si>
  <si>
    <t>Technology &amp; Innovation</t>
  </si>
  <si>
    <t>Digital-first; API-driven platform</t>
  </si>
  <si>
    <t>Financial services infrastructure is rapidly digitizing — Account Aggregator framework, ONDC for financial products, and Open Credit Enablement Network (OCEN) are creating new distribution channels. Companies with API-first platforms, modern tech stacks, and early integration with India Stack (Aadhaar, UPI, DigiLocker) capture emerging opportunities. Legacy technology = competitive disadvantage.</t>
  </si>
  <si>
    <t>16. Fintech &amp; Digital Lending</t>
  </si>
  <si>
    <t>Digital Origination &amp; Disbursement Growth</t>
  </si>
  <si>
    <t>Disbursement CAGR ≥30%; 100% digital origination</t>
  </si>
  <si>
    <t>Fintech lenders (Paytm, BharatPe, Fi Money, KreditBee) originate loans entirely through digital channels — zero physical touchpoints. Disbursement growth &gt;30% signals product-market fit and scalable acquisition. Key metric: disbursement volume (₹ Cr) × number of loans. Ticket sizes range from ₹5,000 (BNPL) to ₹50 lakhs (digital home loans). Companies growing disbursements while maintaining credit quality demonstrate scalable underwriting capability.</t>
  </si>
  <si>
    <t>Credit Quality (NPA / Default Rate)</t>
  </si>
  <si>
    <t>GNPA &lt;3% for secured; &lt;5% for unsecured; vintage delinquency curves stable</t>
  </si>
  <si>
    <t>Digital lenders face inherently higher credit risk — new-to-credit customers, thin-file borrowers, unsecured lending. GNPA for digital personal loans is typically 3-6% (vs 1-2% for bank personal loans). Vintage analysis (tracking default rates by monthly cohort) is more informative than point-in-time NPA. Companies with improving vintage curves and stable bounce rates (EMI payment failures) demonstrate maturing underwriting models. RBI's digital lending guidelines (2022) increased compliance requirements.</t>
  </si>
  <si>
    <t>Customer Acquisition Cost (CAC) &amp; Unit Economics</t>
  </si>
  <si>
    <t>CAC payback &lt;6 months; contribution margin per loan positive by 3rd EMI</t>
  </si>
  <si>
    <t>Fintech CAC includes digital marketing, app install campaigns, KYC costs, and first-loan incentives. Sustainable unit economics require CAC recovery within 6 months through interest income and cross-sell revenue. Companies with organic app traffic (Paytm's payment ecosystem driving lending) have lower CAC than pure lending apps. LTV/CAC &gt;3x indicates healthy economics. Negative unit economics with growth funded by investor capital is unsustainable.</t>
  </si>
  <si>
    <t>Technology &amp; Data Advantage</t>
  </si>
  <si>
    <t>Proprietary credit scoring model; alternative data sources ≥5; ML-based underwriting</t>
  </si>
  <si>
    <t>Fintech's core advantage over traditional lenders is technology-driven underwriting — using alternative data (UPI transaction history, smartphone metadata, GST filings, e-commerce purchase patterns) for credit assessment. Companies with proprietary credit models achieving better default prediction than bureau scores have defensible competitive advantages. AI/ML model accuracy (Gini coefficient &gt;0.5) and continuous model improvement from expanding data sets create compounding advantages.</t>
  </si>
  <si>
    <t>Regulatory Compliance &amp; Licensing</t>
  </si>
  <si>
    <t>NBFC/PPI license from RBI; RBI digital lending guidelines compliance 100%</t>
  </si>
  <si>
    <t>RBI's September 2022 Digital Lending Guidelines fundamentally changed the industry — mandating direct bank account disbursement (no pool accounts), explicit borrower consent, cooling-off period, and FLDG caps at 5%. Companies with proper NBFC licenses (vs pure marketplace models) and full compliance have regulatory certainty. Non-compliant players face shutdown risk. Licensing status (NBFC-P2P, NBFC-AA, PPI) determines which products the company can offer.</t>
  </si>
  <si>
    <t>Revenue Diversification (Lending vs Platform)</t>
  </si>
  <si>
    <t>Non-lending revenue (insurance distribution, wealth, payments) ≥20% of total</t>
  </si>
  <si>
    <t>Pure digital lending is commoditizing — interest rates converge as competition intensifies. Companies building platforms (PB Fintech/Policybazaar for insurance comparison, Paytm for payments + lending + insurance + wealth) capture more customer wallet share and earn diversified revenue. Platform revenue (commissions, subscriptions, SaaS fees to lender partners) is higher-margin and more resilient than net interest income from own-book lending.</t>
  </si>
  <si>
    <t>Healthcare (6 industries)</t>
  </si>
  <si>
    <t>Pharmaceuticals</t>
  </si>
  <si>
    <t>≥20% (pharma); ≥25% (hospitals)</t>
  </si>
  <si>
    <t>Pharma EBITDA 20-25% is healthy (Sun Pharma ~27%). Hospitals need 25%+ (Apollo ~15-18% improving). Below threshold signals pricing pressure or high raw material costs.</t>
  </si>
  <si>
    <t>Biotechnology</t>
  </si>
  <si>
    <t>R&amp;D Spend</t>
  </si>
  <si>
    <t>6–8% of revenue</t>
  </si>
  <si>
    <t>Pipeline sustainability metric. Indian pharma spends 6-8% on R&amp;D (vs. 15-20% global). &lt;5% means reliance on generics without innovation; long-term competitive risk.</t>
  </si>
  <si>
    <t>Hospitals</t>
  </si>
  <si>
    <t>USFDA / Regulatory Risk</t>
  </si>
  <si>
    <t>Zero observations / WL / import alerts</t>
  </si>
  <si>
    <t>USFDA warning letters or import alerts can shut down plant revenue (30-40% of pharma exports go to US). Clean regulatory record is a binary risk gate.</t>
  </si>
  <si>
    <t>Diagnostics</t>
  </si>
  <si>
    <t>Product Mix</t>
  </si>
  <si>
    <t>Specialty &gt;40% of revenue</t>
  </si>
  <si>
    <t>Specialty/complex generics carry higher margins (50-70%) vs. plain generics (20-30%). Higher specialty mix = better margin sustainability and pricing power.</t>
  </si>
  <si>
    <t>Medical Equipment</t>
  </si>
  <si>
    <t>Healthcare is asset-intensive (hospitals: land, equipment; pharma: plants, R&amp;D). ROCE &gt;20% justifies reinvestment; Nifty Pharma leaders average 18-25%.</t>
  </si>
  <si>
    <t>Healthcare Services</t>
  </si>
  <si>
    <t>≥40% of pharma revenue</t>
  </si>
  <si>
    <t>Export diversification reduces India-centric regulatory and pricing risks. US, EU, and emerging markets each contribute differently; &gt;40% exports signals global competitiveness.</t>
  </si>
  <si>
    <t>FCF/EBITDA ≥70%</t>
  </si>
  <si>
    <t>R&amp;D and capex are cash-heavy. FCF/EBITDA &gt;70% confirms the business generates real cash after investment, not just accounting profit.</t>
  </si>
  <si>
    <t>1. Pharmaceuticals</t>
  </si>
  <si>
    <t>Indian pharma market ~$50B growing 10-12%. Export growth (US generics, emerging markets) adds. Sun Pharma ~12%, Dr. Reddy’s ~15%. &lt;8% = market share loss.</t>
  </si>
  <si>
    <t>Pharma margins driven by product mix (specialty vs. generic) and geography. Sun Pharma ~27%, Cipla ~23%. &lt;18% signals price erosion in US generics or high API costs.</t>
  </si>
  <si>
    <t>USFDA Compliance</t>
  </si>
  <si>
    <t>Zero warning letters; OAI &lt;2 plants</t>
  </si>
  <si>
    <t>FDA compliance is binary risk. Warning letter = product ban from US market (30-40% of export revenue). One plant failure can wipe 10-15% of revenue overnight.</t>
  </si>
  <si>
    <t>R&amp;D Pipeline (ANDA filings)</t>
  </si>
  <si>
    <t>≥30 cumulative ANDA approvals</t>
  </si>
  <si>
    <t>ANDA pipeline = future US revenue. More approvals = more launch opportunities. Companies with 30+ ANDAs have diversified US generic portfolios.</t>
  </si>
  <si>
    <t>Specialty / Complex Generics Mix</t>
  </si>
  <si>
    <t>&gt;30% of revenue</t>
  </si>
  <si>
    <t>Specialty drugs (injectables, biosimilars, complex generics) carry 50-70% margins vs. 20-30% for plain generics. Higher mix = sustainable margin profile.</t>
  </si>
  <si>
    <t>Domestic vs. Export Mix</t>
  </si>
  <si>
    <t>Pure-play exporters face USD/INR volatility and regulatory risk. Pure-domestic players miss global growth. Balanced mix (Sun, Cipla) provides diversification.</t>
  </si>
  <si>
    <t>Pharma is moderately capital-intensive (API plants, R&amp;D). ROCE &gt;18% is healthy. Divi’s Lab ~30%, Sun Pharma ~20%. &lt;14% indicates poor capital deployment.</t>
  </si>
  <si>
    <t>2. Biotechnology</t>
  </si>
  <si>
    <t>Biosimilar Pipeline</t>
  </si>
  <si>
    <t>≥5 molecules in development/launched</t>
  </si>
  <si>
    <t>Biosimilars are biotech’s biggest growth lever in India. Biocon has 5+ biosimilars commercialized. Pipeline breadth determines future revenue streams.</t>
  </si>
  <si>
    <t>Biotech is a growth sector. 15-25% revenue growth justified by new product launches, biosimilar penetration, and CDMO (contract manufacturing) demand.</t>
  </si>
  <si>
    <t>10–20% of revenue</t>
  </si>
  <si>
    <t>Biotech R&amp;D is expensive (clinical trials, biologics development). 10-20% spend is necessary for pipeline sustainability. &lt;8% means under-investing in future growth.</t>
  </si>
  <si>
    <t>Regulatory Approvals</t>
  </si>
  <si>
    <t>≥3 major market approvals (US/EU)</t>
  </si>
  <si>
    <t>FDA/EMA biosimilar approvals are the revenue unlock. Each approval opens a $1-5B market opportunity. Biocon Biologics has EU + US approvals for key molecules.</t>
  </si>
  <si>
    <t>CDMO Revenue</t>
  </si>
  <si>
    <t>&gt;20% of revenue</t>
  </si>
  <si>
    <t>Contract Development &amp; Manufacturing (CDMO) provides recurring, asset-light revenue. Syngene, Biocon’s CDMO arm grows 15-20%. &gt;20% of revenue = diversified earnings.</t>
  </si>
  <si>
    <t>Biologics have high manufacturing costs but premium pricing. Gross margin &gt;55% indicates efficient manufacturing. &lt;50% suggests yield issues or unfavorable pricing.</t>
  </si>
  <si>
    <t>3. Hospitals</t>
  </si>
  <si>
    <t>Hospital profitability is driven by bed occupancy. &gt;70% ensures fixed cost absorption (rent, equipment, salaries). Apollo ~68-72%, Max ~70-75%. &lt;60% = unprofitable.</t>
  </si>
  <si>
    <t>ARPOB (Avg Revenue Per Occupied Bed)</t>
  </si>
  <si>
    <t>≥₹50,000/day (metro)</t>
  </si>
  <si>
    <t>ARPOB = pricing power metric. Higher ARPOB reflects specialty mix (cardiac, onco, neuro commands premium). Apollo ~₹55K, Narayana ~₹28K. Mix drives this.</t>
  </si>
  <si>
    <t>Mature hospitals target 22-28% EBITDA margin. Apollo ~18-20% (improving), Max ~25%. New hospitals run at 8-15% during ramp-up. Network maturity matters.</t>
  </si>
  <si>
    <t>Bed Addition Pipeline</t>
  </si>
  <si>
    <t>10–15% bed growth over 3 years</t>
  </si>
  <si>
    <t>India has 1.3 beds per 1000 (vs. 3 globally). Bed addition = capacity for revenue growth. Apollo targets 10,000 beds from ~7,300. Controlled expansion prevents margin dilution.</t>
  </si>
  <si>
    <t>Payor Mix (Insurance vs. Cash)</t>
  </si>
  <si>
    <t>Insurance &gt;40% of revenue</t>
  </si>
  <si>
    <t>Insurance-backed patients are higher-value (more procedures, less price sensitivity). &gt;40% insurance mix reduces bad debts and improves realization vs. cash patients.</t>
  </si>
  <si>
    <t>Hospitals are asset-heavy (land, equipment, building). ROCE &gt;14% is strong. New hospital clusters drag ROCE for 3-5 years until they mature to 70%+ occupancy.</t>
  </si>
  <si>
    <t>4. Diagnostics</t>
  </si>
  <si>
    <t>India’s diagnostics market ~$12B growing 12-15%. Low penetration + health awareness + preventive testing = structural growth. Dr. Lal ~12%, Metropolis ~14%.</t>
  </si>
  <si>
    <t>≥26%</t>
  </si>
  <si>
    <t>Diagnostics is a high-margin business once lab network is established. Dr. Lal ~28%, Metropolis ~27%. &lt;22% suggests over-reliance on discounted B2B or sub-scale operations.</t>
  </si>
  <si>
    <t>Revenue per Test / Test Mix</t>
  </si>
  <si>
    <t>Specialized tests &gt;35% of revenue</t>
  </si>
  <si>
    <t>Specialized tests (genomics, immunology, histopathology) earn 3-5x revenue per test vs. routine pathology. Higher specialization mix = better margins and differentiation.</t>
  </si>
  <si>
    <t>Network Expansion (Labs + Collection Centers)</t>
  </si>
  <si>
    <t>&gt;10% YoY network growth</t>
  </si>
  <si>
    <t>More collection points = more sample inflows to hub labs (operating leverage). Dr. Lal has 280+ labs + 10,000+ collection points. Network density is the moat.</t>
  </si>
  <si>
    <t>Patient Volume Growth</t>
  </si>
  <si>
    <t>Volume growth shows market penetration. Price-per-test is under pressure from competition. Winning on volume ensures revenue grows even with pricing headwinds.</t>
  </si>
  <si>
    <t>Diagnostics is asset-light (lab equipment, not real estate). ROCE &gt;25% is standard. Dr. Lal ~28%, Metropolis ~20%. &lt;18% signals over-expansion or unprofitable acquisitions.</t>
  </si>
  <si>
    <t>5. Medical Equipment</t>
  </si>
  <si>
    <t>India’s medtech market ~$14B growing 15-18%. Govt push for domestic manufacturing (Make in India, PLI for medtech) supports structural growth.</t>
  </si>
  <si>
    <t>Medical equipment earns high gross margins (technology premium). &gt;45% indicates strong product differentiation. &lt;35% suggests commoditized products or import dependence.</t>
  </si>
  <si>
    <t>8–12% of revenue</t>
  </si>
  <si>
    <t>Medtech requires continuous innovation (regulatory approval cycle, technology upgrades). 8-12% R&amp;D spend ensures product pipeline refreshment.</t>
  </si>
  <si>
    <t>Domestic Manufacturing %</t>
  </si>
  <si>
    <t>&gt;50% locally manufactured</t>
  </si>
  <si>
    <t>India imports ~80% of medical devices. Companies manufacturing locally benefit from lower costs, PLI incentives, and Govt procurement preference.</t>
  </si>
  <si>
    <t>&gt;25% of revenue</t>
  </si>
  <si>
    <t>Indian medtech companies exporting to regulated markets (US, EU) earn higher margins and diversify revenue. &gt;25% exports signals global competitiveness.</t>
  </si>
  <si>
    <t>Medical equipment requires moderate capex (precision manufacturing, clean rooms). ROCE &gt;18% is healthy. &lt;14% means the technology premium isn’t translating to returns.</t>
  </si>
  <si>
    <t>6. Healthcare Services</t>
  </si>
  <si>
    <t>18–25% YoY</t>
  </si>
  <si>
    <t>Healthtech/services (pharmacy chains, telemedicine, health insurance TPA) are high-growth verticals. Apollo Health &amp; Lifestyle, PharmEasy represent this segment.</t>
  </si>
  <si>
    <t>Patient / User Growth</t>
  </si>
  <si>
    <t>User base growth is the lead indicator for platform-style healthcare services. More users = more data = better outcomes = network effects.</t>
  </si>
  <si>
    <t>Healthcare services margins vary widely. Pharmacy retail ~20-25%, telemedicine ~40-50%, home healthcare ~30-35%. Blended &gt;35% signals good service mix.</t>
  </si>
  <si>
    <t>Positive at center/unit level</t>
  </si>
  <si>
    <t>Each clinic, pharmacy, or delivery unit must be individually profitable. Positive unit economics = path to scale profitability. Negative = unsustainable growth.</t>
  </si>
  <si>
    <t>Scalability / Asset-Lightness</t>
  </si>
  <si>
    <t>Franchise/partner model &gt;30% of network</t>
  </si>
  <si>
    <t>Asset-light models (franchises, partnerships) scale faster with lower capex. &gt;30% franchise/partner network reduces capital intensity and accelerates geographic expansion.</t>
  </si>
  <si>
    <t>Healthcare services are capital-light to moderate. ROCE &gt;15% indicates the service model creates value. Early-stage companies may show lower ROCE during expansion.</t>
  </si>
  <si>
    <t>Construction (3 industries)</t>
  </si>
  <si>
    <t>Construction &amp; EPC</t>
  </si>
  <si>
    <t>Order Book Growth</t>
  </si>
  <si>
    <t>India’s NIP (₹111L Cr infra pipeline) is the sector tailwind. Order book growth &gt;20% captures this structural opportunity. Companies losing order market share face revenue deceleration.</t>
  </si>
  <si>
    <t>Roads &amp; Highways</t>
  </si>
  <si>
    <t>Execution Ratio</t>
  </si>
  <si>
    <t>Book-to-Bill ≥1.0x; BTB ≥2.5x revenue</t>
  </si>
  <si>
    <t>Execution ratio (revenue/opening order book) shows delivery capability. BTB &gt;1.0x means new orders exceed billing. Order book &gt;2.5x revenue = multi-year visibility.</t>
  </si>
  <si>
    <t>Water &amp; Environment Infrastructure</t>
  </si>
  <si>
    <t>≥11%</t>
  </si>
  <si>
    <t>EPC/construction margins are thin by nature. &gt;11% is strong for roads/bridges; 8-10% for buildings. Fixed-price contracts leave no room for cost overruns.</t>
  </si>
  <si>
    <t>NWC &lt;25% of revenue</t>
  </si>
  <si>
    <t>Retention money, receivables (60-120 day Govt cycles), and mobilization consume cash. NWC &lt;25% is efficient; &gt;35% destroys cash flow.</t>
  </si>
  <si>
    <t>&lt;1.0x</t>
  </si>
  <si>
    <t>EPC firms use project-level debt for equipment/mobilization. D/E &lt;1.0x is manageable. &gt;1.5x creates interest burden that eats into already-thin margins.</t>
  </si>
  <si>
    <t>Construction is capital-intensive (equipment, WIP, retention). ROCE &gt;12% is good. KNR ~15%, NCC ~12%. &lt;10% means projects consume more capital than they return.</t>
  </si>
  <si>
    <t>1. Construction &amp; EPC</t>
  </si>
  <si>
    <t>EPC/construction lives on order book. India’s NIP (₹111L Cr infra pipeline) is the sector tailwind. KNR, NCC, Dilip Buildcon target 20%+ inflow growth.</t>
  </si>
  <si>
    <t>Execution Rate</t>
  </si>
  <si>
    <t>Revenue/opening OB ≥35%</t>
  </si>
  <si>
    <t>Ability to convert orders into revenue. Execution rate 35-40% = healthy billing pace. &lt;25% means land/clearance delays, monsoon impact, or labor shortages.</t>
  </si>
  <si>
    <t>EPC/construction margins are thin. &gt;11% is strong for roads/bridges; 8-10% for buildings. Fixed-price contracts leave no room for cost overruns.</t>
  </si>
  <si>
    <t>Net Working Capital</t>
  </si>
  <si>
    <t>Retention money (5-10%), receivables (60-120 day Govt payment cycles), and mobilization consume cash. NWC &lt;25% is efficient; &gt;35% destroys cash flow.</t>
  </si>
  <si>
    <t>HAM/BOT Asset Portfolio</t>
  </si>
  <si>
    <t>Asset monetization pipeline active</t>
  </si>
  <si>
    <t>Road developers with HAM/BOT assets can monetize via InvITs or divestment, unlocking capital for new projects. Active monetization improves ROCE and reduces balance sheet stress.</t>
  </si>
  <si>
    <t>Construction is capital-intensive (equipment, WIP, retention). ROCE &gt;12% is good. KNR ~15%, NCC ~12%. &lt;10% means projects are consuming more capital than they return.</t>
  </si>
  <si>
    <t>2. Roads &amp; Highways</t>
  </si>
  <si>
    <t>NHAI awards &gt;₹2L Cr/yr in road projects. Order book growth &gt;20% captures India’s Bharatmala, expressway, and state highway expansion programs.</t>
  </si>
  <si>
    <t>Execution Speed (km/day)</t>
  </si>
  <si>
    <t>&gt;1 km/day per project</t>
  </si>
  <si>
    <t>Road construction speed determines billing pace. India builds ~28-30 km/day nationally. Individual companies executing &gt;1 km/day per project are in the top execution bracket.</t>
  </si>
  <si>
    <t>HAM projects ~13-16% (lower risk, Govt payments). BOT ~15-20% (higher risk, toll-based). Pure EPC ~10-13%. Higher HAM mix = better risk-adjusted margins.</t>
  </si>
  <si>
    <t>Road developers carry project debt. D/E &lt;1.0x is manageable for EPC-focused firms. HAM/BOT developers may run higher but should actively monetize assets.</t>
  </si>
  <si>
    <t>Asset Monetization</t>
  </si>
  <si>
    <t>Active TOT/InvIT pipeline</t>
  </si>
  <si>
    <t>Road assets can be monetized via TOT or InvITs. Active monetization frees capital for new projects and improves ROCE. IRB InvIT is the template.</t>
  </si>
  <si>
    <t>≥13%</t>
  </si>
  <si>
    <t>Road construction ties up capital in WIP and equipment. ROCE &gt;13% is healthy for asset-heavy road developers. Pure EPC players target 15%+.</t>
  </si>
  <si>
    <t>3. Water &amp; Environment Infrastructure</t>
  </si>
  <si>
    <t>≥25% YoY</t>
  </si>
  <si>
    <t>Jal Jeevan Mission (₹3.6L Cr), industrial water treatment, and sewage treatment plants drive massive order flows. VA Tech Wabag, Ion Exchange are key plays.</t>
  </si>
  <si>
    <t>Water sector growing 18-22% driven by Govt schemes (Jal Jeevan, AMRUT, Smart Cities). Companies converting orders to revenue at 18%+ are executing well.</t>
  </si>
  <si>
    <t>Water EPC earns 10-14% EBITDA; O&amp;M contracts earn 15-20%. Companies with higher O&amp;M share (recurring revenue) have better margin stability.</t>
  </si>
  <si>
    <t>O&amp;M Revenue %</t>
  </si>
  <si>
    <t>≥25% from O&amp;M</t>
  </si>
  <si>
    <t>O&amp;M contracts are 10-25 year recurring revenue streams post-construction. &gt;25% O&amp;M = stable earnings base beyond project-based revenue.</t>
  </si>
  <si>
    <t>NWC &lt;30% of revenue</t>
  </si>
  <si>
    <t>Municipal water projects have slow Govt payment cycles. &lt;30% NWC is efficient; &gt;40% means financing municipal infrastructure from own cash.</t>
  </si>
  <si>
    <t>Water infrastructure is capital-moderate. ROCE &gt;14% is healthy. Working capital efficiency is the key determinant. Companies with advance-based contracts have better ROCE.</t>
  </si>
  <si>
    <t>Capital Goods (11 industries)</t>
  </si>
  <si>
    <t>Capital Goods &amp; Heavy Engineering</t>
  </si>
  <si>
    <t>Order Book / Revenue Visibility</t>
  </si>
  <si>
    <t>Order book ≥2.5x annual revenue</t>
  </si>
  <si>
    <t>Capital goods and industrial companies thrive on order backlog. 2.5x+ book-to-bill provides multi-year revenue visibility. L&amp;T at ₹4.8L Cr backlog, Siemens India, ABB India are sector leaders.</t>
  </si>
  <si>
    <t>Defence &amp; Aerospace</t>
  </si>
  <si>
    <t>India’s capex cycle is accelerating — Govt infra spending, PLI schemes, manufacturing expansion, defence indigenization. Companies growing 15%+ are capturing this structural upswing.</t>
  </si>
  <si>
    <t>Railways</t>
  </si>
  <si>
    <t>Margins vary: Defence/electronics 18-25%, engineering 12-18%, logistics 10-15%. Operating leverage during capex upcycles improves margins. Pricing power from technology moats matters.</t>
  </si>
  <si>
    <t>Electrical Equipment</t>
  </si>
  <si>
    <t>NWC &lt;20% of revenue</t>
  </si>
  <si>
    <t>Capital goods firms have large receivables from Govt/PSU clients (60-120 day cycles), inventory (long production cycles), and milestone-based billing. Efficient WC management is critical for cash flow.</t>
  </si>
  <si>
    <t>Industrial Machinery</t>
  </si>
  <si>
    <t>Capex / R&amp;D Spend</t>
  </si>
  <si>
    <t>Capex 3-5% of revenue; R&amp;D ≥2% for tech-heavy</t>
  </si>
  <si>
    <t>Capital goods require ongoing investment in manufacturing capability. Companies with strong R&amp;D (Siemens, ABB, BHEL) maintain technology moats. Defence firms need 5%+ R&amp;D for indigenization.</t>
  </si>
  <si>
    <t>Logistics &amp; Supply Chain</t>
  </si>
  <si>
    <t>Export / Global Competitiveness</t>
  </si>
  <si>
    <t>Exports ≥20% of revenue</t>
  </si>
  <si>
    <t>Indian capital goods companies are increasingly globally competitive. Defence exports (₹21,000 Cr target), engineering exports, and EMS exports diversify revenue and reduce domestic cyclicality.</t>
  </si>
  <si>
    <t>Ports &amp; Port Services</t>
  </si>
  <si>
    <t>Capital employed in manufacturing assets, WIP, and receivables. ROCE &gt;18% is strong for capital goods. Siemens India &gt;25%, L&amp;T ~18%. Asset-light models (EMS) should target &gt;20%.</t>
  </si>
  <si>
    <t>Shipping</t>
  </si>
  <si>
    <t>Packaging</t>
  </si>
  <si>
    <t>Electronics Manufacturing Services</t>
  </si>
  <si>
    <t>1. Capital Goods &amp; Heavy Engineering</t>
  </si>
  <si>
    <t>Order inflows are forward revenue. India's industrial capex cycle (PLI, defence, infrastructure) drives 20%+ order growth for leaders. L&amp;T order inflow &gt;₹2.5L Cr/yr.</t>
  </si>
  <si>
    <t>Order Book-to-Revenue Ratio</t>
  </si>
  <si>
    <t>≥2.5x</t>
  </si>
  <si>
    <t>Revenue visibility metric. Order book &gt;2.5x revenue = 2.5+ years of work. L&amp;T at ~3.5x. &lt;2x means the company needs to continuously win new orders to sustain revenue.</t>
  </si>
  <si>
    <t>Capital goods margins depend on product complexity. Electrical equipment 14-18%, heavy engineering 10-14%. L&amp;T ~11%. &lt;8% signals cost overruns or pricing pressure.</t>
  </si>
  <si>
    <t>Capital goods require significant fixed assets and working capital. ROCE &gt;18% is strong. ABB ~25%, Siemens ~22%. &lt;14% = capital trapped in slow projects.</t>
  </si>
  <si>
    <t>&lt;80 days (NWC)</t>
  </si>
  <si>
    <t>Customer advances, retention money, and inventory tie up capital. NWC &lt;80 days is efficient for capital goods. &gt;120 days means cash is locked, dragging ROCE.</t>
  </si>
  <si>
    <t>Global manufacturing outsourcing to India (China+1) benefits capital goods exporters. &gt;20% exports = diversification and USD revenue. Thermax, L&amp;T growing exports.</t>
  </si>
  <si>
    <t>Best-in-class capital goods companies are net-cash or low-debt. &lt;0.5x D/E gives flexibility to bid on large projects requiring bank guarantees.</t>
  </si>
  <si>
    <t>2. Defence &amp; Aerospace</t>
  </si>
  <si>
    <t>India's defence budget ₹6.2L Cr with 75% indigenization target. Defence order books are multi-year (₹85,000 Cr for HAL). 25%+ inflow growth captures this wave.</t>
  </si>
  <si>
    <t>Defence products carry higher margins than civil engineering (technology premium, limited competition). HAL ~25%, BEL ~22%. &gt;18% is the floor for defence-focused companies.</t>
  </si>
  <si>
    <t>Indigenization / Make-in-India %</t>
  </si>
  <si>
    <t>&gt;60% domestic content</t>
  </si>
  <si>
    <t>Govt mandates increasing indigenous content (positive indigenization lists). &gt;60% domestic content qualifies for preferential procurement. BEL, HAL lead at &gt;75%.</t>
  </si>
  <si>
    <t>&gt;10% of revenue (growing)</t>
  </si>
  <si>
    <t>India's defence exports crossed $2.8B (target $5B). Companies exporting defence products earn USD revenue and reduce dependence on Indian defence budget cycles.</t>
  </si>
  <si>
    <t>R&amp;D / Technology Capability</t>
  </si>
  <si>
    <t>R&amp;D &gt;8% of revenue</t>
  </si>
  <si>
    <t>Defence technology is a moat. Companies investing &gt;8% in R&amp;D develop proprietary platforms (HAL's Tejas, BEL's radar systems). Without R&amp;D, companies are sub-contractors, not OEMs.</t>
  </si>
  <si>
    <t>Defence companies benefit from Govt-funded capex and advance payments. ROCE &gt;20% is achievable. HAL ~30%, BEL ~25%. Lower ROCE signals under-execution.</t>
  </si>
  <si>
    <t>Execution Track Record</t>
  </si>
  <si>
    <t>On-time delivery &gt;80%</t>
  </si>
  <si>
    <t>Defence contracts have penalty clauses for delays. On-time delivery &gt;80% builds credibility for repeat orders.</t>
  </si>
  <si>
    <t>3. Railways</t>
  </si>
  <si>
    <t>≥30% YoY</t>
  </si>
  <si>
    <t>Indian Railways capex &gt;₹2.6L Cr/yr. Vande Bharat, metro projects, signaling upgrades drive 30%+ order growth. RVNL, IRCON, Titagarh are key beneficiaries.</t>
  </si>
  <si>
    <t>Revenue growth must track order execution. Companies growing 20%+ are converting their order books efficiently. Flat revenue with growing orders = execution bottleneck.</t>
  </si>
  <si>
    <t>Railway equipment (coaches, signaling) earns 12-18% EBITDA. Civil construction (tracks, stations) earns 10-13%. Higher technology content = higher margins.</t>
  </si>
  <si>
    <t>Order Book-to-Revenue</t>
  </si>
  <si>
    <t>≥3x</t>
  </si>
  <si>
    <t>Railway projects are long-duration (3-5 years). Order book &gt;3x revenue ensures multi-year visibility. Titagarh ~4x, RVNL ~3.5x.</t>
  </si>
  <si>
    <t>Govt/IR Dependency</t>
  </si>
  <si>
    <t>Private/metro/export ≥30%</t>
  </si>
  <si>
    <t>Over-reliance on Indian Railways (single buyer) creates budget-cycle risk. Diversification into metros, private freight, and exports reduces this concentration.</t>
  </si>
  <si>
    <t>Railway equipment manufacturing is capital-intensive. ROCE &gt;15% is strong. Companies receiving advance payments from IR have better working capital and ROCE.</t>
  </si>
  <si>
    <t>Govt payment cycles can be slow (90-180 days). NWC &lt;30% is manageable for railway contractors.</t>
  </si>
  <si>
    <t>4. Electrical Equipment</t>
  </si>
  <si>
    <t>Electrification, T&amp;D upgrades, and renewable integration drive demand. ABB ~20%, Siemens ~18%. Companies growing 15%+ capture India's power infrastructure build-out.</t>
  </si>
  <si>
    <t>Electrical equipment (transformers, switchgears, cables) earns 14-20% EBITDA. ABB ~15%, Havells ~13%. Product innovation and premiumization drive margins.</t>
  </si>
  <si>
    <t>Order Book / Inquiries</t>
  </si>
  <si>
    <t>Order book ≥1.5x annual revenue</t>
  </si>
  <si>
    <t>Forward visibility through orders/inquiry pipeline. Transformer orders have surged 3x due to renewable and data center demand. Order book &gt;1.5x = solid near-term revenue.</t>
  </si>
  <si>
    <t>Electrical equipment is moderately capital-intensive. ROCE &gt;22% signals product differentiation and pricing power. ABB ~28%, Siemens ~22%. MNC subsidiaries lead.</t>
  </si>
  <si>
    <t>Product Mix (Premium vs. Commodity)</t>
  </si>
  <si>
    <t>Premium/smart products &gt;30%</t>
  </si>
  <si>
    <t>Smart switchgears, IoT-enabled transformers, EV charging equipment command 2-3x margins vs. commodity electricals. Higher premium mix = margin expansion.</t>
  </si>
  <si>
    <t>≥15% of revenue</t>
  </si>
  <si>
    <t>Global transformer shortage benefits Indian exporters. Companies exporting &gt;15% diversify from India's T&amp;D cycle and earn higher USD realizations.</t>
  </si>
  <si>
    <t>5. Industrial Machinery &amp; Services</t>
  </si>
  <si>
    <t>Industrial machinery demand linked to manufacturing capex cycle. India's manufacturing GDP growing 8-10%. Companies at 12-18% are capturing automation and capacity expansion.</t>
  </si>
  <si>
    <t>Specialized machinery earns 14-22% EBITDA (technology premium). Commodity machinery (pumps, valves) earns 10-14%. Higher complexity = higher margins.</t>
  </si>
  <si>
    <t>Aftermarket Revenue %</t>
  </si>
  <si>
    <t>Spares, services, and AMC contracts are high-margin recurring revenue. &gt;25% aftermarket = stable earnings base regardless of new order cycles.</t>
  </si>
  <si>
    <t>Machinery manufacturing is moderately capital-intensive. ROCE &gt;20% signals product differentiation. Cummins India ~30%. &lt;15% indicates commodity positioning.</t>
  </si>
  <si>
    <t>Export / Global Sourcing Hub</t>
  </si>
  <si>
    <t>≥20% export revenue</t>
  </si>
  <si>
    <t>India as a global manufacturing hub (China+1) benefits machinery exporters. MNC subsidiaries (Cummins, SKF) use India as export base.</t>
  </si>
  <si>
    <t>Manufacturing fixed costs need high utilization for absorption. &gt;75% means demand supports current capacity. &lt;60% signals overcapacity.</t>
  </si>
  <si>
    <t>6. Logistics &amp; Transportation</t>
  </si>
  <si>
    <t>India's logistics cost is 14% of GDP (target 9%). Formalization (GST, e-way bills) and infrastructure (DFC, expressways) drive structural growth.</t>
  </si>
  <si>
    <t>≥10% (asset-light); ≥15% (asset-heavy)</t>
  </si>
  <si>
    <t>3PL/freight brokerage earns 10-14%. Container/rail earns 15-22%. TCI ~8%, Concor ~25%. Business model determines margin profile.</t>
  </si>
  <si>
    <t>Asset Utilization</t>
  </si>
  <si>
    <t>Truck util &gt;85%; rail load factor &gt;70%</t>
  </si>
  <si>
    <t>Fleet/asset utilization is the key profitability lever. Higher utilization = more revenue per rupee of asset deployed. Empty runs destroy margins.</t>
  </si>
  <si>
    <t>Network Density</t>
  </si>
  <si>
    <t>Pan-India with hub-and-spoke model</t>
  </si>
  <si>
    <t>Logistics is a network business. Denser networks reduce per-shipment costs. Delhivery, TCI have pan-India networks with 20,000+ pin-code coverage.</t>
  </si>
  <si>
    <t>Logistics ranges from asset-light (high ROCE) to asset-heavy (moderate). &gt;14% is healthy. Concor ~12%, TCI ~16%. &lt;10% means assets are underutilized.</t>
  </si>
  <si>
    <t>Technology / Automation</t>
  </si>
  <si>
    <t>Digital tracking &gt;90% of shipments</t>
  </si>
  <si>
    <t>Tech-enabled logistics (GPS tracking, automated warehouses, route optimization) reduces costs. Companies without tech are losing share to digital-first players.</t>
  </si>
  <si>
    <t>7. Ports &amp; Port Services</t>
  </si>
  <si>
    <t>Cargo Volume Growth</t>
  </si>
  <si>
    <t>Port volumes track trade growth. India's major + minor ports handle ~2,600 MT/yr. Adani Ports ~30% market share. Volume growth &gt;8% signals trade expansion or share gains.</t>
  </si>
  <si>
    <t>Ports are infrastructure monopolies with massive operating leverage. Adani Ports ~60%, JSW Infra ~50%. &gt;55% reflects pricing power and cost efficiency at scale.</t>
  </si>
  <si>
    <t>70–85%</t>
  </si>
  <si>
    <t>70-85% optimizes revenue vs. expansion needs. &gt;90% = congestion; &lt;60% = overcapacity (fixed cost burden).</t>
  </si>
  <si>
    <t>Concession Period Remaining</t>
  </si>
  <si>
    <t>&gt;15 years avg remaining</t>
  </si>
  <si>
    <t>Port concessions are 30-year contracts. &gt;15 years remaining provides long-term revenue visibility.</t>
  </si>
  <si>
    <t>Cargo Mix Diversification</t>
  </si>
  <si>
    <t>No single cargo &gt;40%</t>
  </si>
  <si>
    <t>Diversified cargo (containers, bulk, liquid, gas) reduces dependency on one trade flow. Single-cargo ports face volume volatility.</t>
  </si>
  <si>
    <t>Ports are asset-heavy (berths, cranes, dredging). ROCE &gt;12% is strong given 30-year asset life. Adani Ports ~14%.</t>
  </si>
  <si>
    <t>8. Shipping &amp; Marine</t>
  </si>
  <si>
    <t>Fleet Utilization</t>
  </si>
  <si>
    <t>Ship operating costs are fixed. &gt;90% utilization maximizes revenue per vessel. SCI targets 95%+. Idle vessels are pure cost.</t>
  </si>
  <si>
    <t>Time Charter Rates</t>
  </si>
  <si>
    <t>Above 10-year average</t>
  </si>
  <si>
    <t>Freight rates are cyclical (Baltic Dry Index). Rates above 10-year average signal supply-demand tightness. Locking in long-term charters provides stability.</t>
  </si>
  <si>
    <t>Average Fleet Age</t>
  </si>
  <si>
    <t>&lt;15 years</t>
  </si>
  <si>
    <t>Younger fleet = lower maintenance, better fuel efficiency. Fleet &gt;20 years faces mandatory scrapping.</t>
  </si>
  <si>
    <t>Shipping can earn 25-45% EBITDA in upcycles. GE Shipping ~30-35%. &lt;15% during downcycles is expected.</t>
  </si>
  <si>
    <t>Ships are financed with 60-70% debt. D/E &lt;1.0x is prudent for cyclical business. Over-leveraged companies fail in extended downcycles.</t>
  </si>
  <si>
    <t>≥50% of fleet on long-term</t>
  </si>
  <si>
    <t>Long-term charters (1-5 years) provide stability. 50%+ contracted = balanced spot/contract exposure.</t>
  </si>
  <si>
    <t>9. Packaging</t>
  </si>
  <si>
    <t>Revenue CAGR ≥12%; volume ≥8%</t>
  </si>
  <si>
    <t>India's packaging industry ₹80,000+ Cr growing at 12-15% driven by FMCG, e-commerce, and pharma/food regulations. Uflex, EPL Ltd, Huhtamaki are key players.</t>
  </si>
  <si>
    <t>EBITDA / Conversion Margin</t>
  </si>
  <si>
    <t>EBITDA ≥14%; conversion margin improving</t>
  </si>
  <si>
    <t>Packaging is a conversion business. Conversion margin (EBITDA/kg) isolates efficiency from raw material pass-through. Flexible packaging 12-16%, rigid 10-14%.</t>
  </si>
  <si>
    <t>Client Concentration</t>
  </si>
  <si>
    <t>Top 5 clients &lt;40%; multi-year contracts ≥60%</t>
  </si>
  <si>
    <t>FMCG companies are primary customers. Loss of a major client can impact 10-15% of revenue. Long-term supply agreements with pass-through clauses provide stability.</t>
  </si>
  <si>
    <t>≥80%; capex payback &lt;4 years</t>
  </si>
  <si>
    <t>High fixed costs need &gt;80% utilization for healthy margins. Asset turnover of 2-3x indicates efficient capital deployment.</t>
  </si>
  <si>
    <t>Sustainability / Recyclable</t>
  </si>
  <si>
    <t>Recyclable/biodegradable ≥20%; EPR 100%</t>
  </si>
  <si>
    <t>India's EPR regulations mandate collection and recycling. Companies investing in sustainable packaging R&amp;D capture premium pricing and future-proof against plastic bans.</t>
  </si>
  <si>
    <t>≥18% flexible; ≥15% corrugated</t>
  </si>
  <si>
    <t>Well-run packaging companies earn 16-22% ROCE. Companies maintaining &gt;15% through capex cycles demonstrate capital discipline.</t>
  </si>
  <si>
    <t>10. Electronic Manufacturing Services (EMS)</t>
  </si>
  <si>
    <t>Revenue Growth &amp; Order Book</t>
  </si>
  <si>
    <t>Revenue CAGR ≥25%; order book ≥2x revenue</t>
  </si>
  <si>
    <t>India's EMS industry growing 30%+ driven by PLI scheme, Make in India, and China+1 diversification. Dixon Technologies, Amber Enterprises, Kaynes Technology are scaling rapidly.</t>
  </si>
  <si>
    <t>Top client &lt;25%; ≥3 product verticals</t>
  </si>
  <si>
    <t>EMS companies face high client concentration risk. Loss of a key OEM client can cause 20-30% revenue decline. Companies diversifying across mobile, IT, consumer electronics, medical devices are more resilient.</t>
  </si>
  <si>
    <t>EBITDA Margin &amp; Value Addition</t>
  </si>
  <si>
    <t>≥7% assembly; ≥12% ODM/components</t>
  </si>
  <si>
    <t>Pure assembly earns 5-9% EBITDA. Moving to ODM (company designs) or component manufacturing earns 10-15%. The margin journey from 5% to 12% is the key re-rating catalyst.</t>
  </si>
  <si>
    <t>PLI Benefit Utilization</t>
  </si>
  <si>
    <t>PLI milestones on track; incentive claims active</t>
  </si>
  <si>
    <t>PLI scheme offers 4-6% incentives on incremental production. Meeting milestones (min investment, min production) is critical — incentives are use-it-or-lose-it.</t>
  </si>
  <si>
    <t>Manufacturing Efficiency</t>
  </si>
  <si>
    <t>Utilization ≥75%; yield ≥98%</t>
  </si>
  <si>
    <t>EMS profitability depends on throughput, yield, and BOM optimization. &gt;98% yield and &gt;75% utilization demonstrate operational maturity.</t>
  </si>
  <si>
    <t>ROCE &amp; Working Capital</t>
  </si>
  <si>
    <t>ROCE ≥18%; inventory days &lt;45</t>
  </si>
  <si>
    <t>EMS is working-capital-intensive. Efficient WC management (inventory &lt;45 days, receivables &lt;60 days) is essential for positive free cash flow.</t>
  </si>
  <si>
    <t>11. Real Estate Services &amp; Broking</t>
  </si>
  <si>
    <t>Pre-sales Growth</t>
  </si>
  <si>
    <t>Pre-sales = future revenue. India's residential market is consolidating to branded developers (top 10 grew from 15% to 30%+ market share post-RERA).</t>
  </si>
  <si>
    <t>Net Debt/Equity</t>
  </si>
  <si>
    <t>&lt;0.5x (ideally net-cash)</t>
  </si>
  <si>
    <t>Real estate historically destroyed value through overleveraging. Post-RERA, balance sheet discipline is key. Net-cash or &lt;0.5x D/E developers are resilient.</t>
  </si>
  <si>
    <t>Launch Pipeline</t>
  </si>
  <si>
    <t>≥30M sqft over 3 years</t>
  </si>
  <si>
    <t>Launch pipeline = future pre-sales opportunity. Large land banks + approvals in place = visibility. Top developers have 100M+ sqft of developable area.</t>
  </si>
  <si>
    <t>Real estate margins depend on location, product, and land cost. Premium residential ~30-35%, mid-segment ~20-25%. &lt;20% signals competitive discounting.</t>
  </si>
  <si>
    <t>OCF/EBITDA</t>
  </si>
  <si>
    <t>Cash collection matters more than accounting profit. OCF/EBITDA &gt;75% means customer payments are flowing. &lt;50% = stalled projects.</t>
  </si>
  <si>
    <t>Annuity Revenue</t>
  </si>
  <si>
    <t>≥20% of revenue from rental/commercial</t>
  </si>
  <si>
    <t>Rental income from commercial/retail provides predictable base vs. lumpy residential sales. DLF Rental ~35%, Brigade ~25%.</t>
  </si>
  <si>
    <t>Information Technology (4 industries)</t>
  </si>
  <si>
    <t>IT Services</t>
  </si>
  <si>
    <t>Revenue Growth (Dollar terms)</t>
  </si>
  <si>
    <t>10–15% YoY (in USD)</t>
  </si>
  <si>
    <t>Dollar revenue strips out INR depreciation tailwind. Nifty IT leaders grow 10-15% in CC; &lt;8% signals market share loss in a $200B+ TAM.</t>
  </si>
  <si>
    <t>Software Products</t>
  </si>
  <si>
    <t>22–26%</t>
  </si>
  <si>
    <t>Reflects offshoring leverage and pricing discipline. Tier-1 Indian IT averages 22-26% EBIT margin; sub-20% signals margin pressure from wage hikes or onsite mix.</t>
  </si>
  <si>
    <t>IT Consulting &amp; Solutions</t>
  </si>
  <si>
    <t>Top 5 &lt;25% of revenue</t>
  </si>
  <si>
    <t>High client concentration (top 5 &gt;30%) creates revenue cliff risk. Diversified firms withstand client-specific downturns better.</t>
  </si>
  <si>
    <t>BPO / IT-Enabled Services</t>
  </si>
  <si>
    <t>Deal Wins / Order Book</t>
  </si>
  <si>
    <t>Book-to-Bill ≥1.2x</t>
  </si>
  <si>
    <t>Order book = forward revenue visibility. Book-to-Bill &gt;1.2x means pipeline exceeds current run-rate, indicating acceleration ahead.</t>
  </si>
  <si>
    <t>Cloud &amp; SaaS</t>
  </si>
  <si>
    <t>Attrition Rate</t>
  </si>
  <si>
    <t>&lt;15% (LTM)</t>
  </si>
  <si>
    <t>Talent is the #1 cost (55-60% of revenue). Attrition &gt;20% inflates hiring/training costs by 15-25% per replacement. &lt;15% LTM is healthy.</t>
  </si>
  <si>
    <t>Cybersecurity</t>
  </si>
  <si>
    <t>Asset-light model should deliver high ROCE. Indian IT typically 30-50% ROCE; below 25% suggests poor capital allocation or acquisition drag.</t>
  </si>
  <si>
    <t>AI &amp; Data Analytics</t>
  </si>
  <si>
    <t>Cash Conversion</t>
  </si>
  <si>
    <t>FCF/EBITDA ≥80%</t>
  </si>
  <si>
    <t>Measures quality of earnings. FCF/EBITDA &gt;80% confirms profit is real cash, not locked in receivables. IT sector's low-capex model should convert well.</t>
  </si>
  <si>
    <t>1. IT Services</t>
  </si>
  <si>
    <t>Revenue Growth (CC, USD)</t>
  </si>
  <si>
    <t>Constant currency USD growth strips out INR depreciation. TCS/Infy target 10-15% CC growth; &lt;8% means losing share in a $250B+ global outsourcing TAM.</t>
  </si>
  <si>
    <t>Reflects offshore leverage and pyramid structure. TCS ~25%, Infy ~21%, Wipro ~17%. Sub-20% means wage inflation or onsite-heavy delivery is eroding the India cost advantage.</t>
  </si>
  <si>
    <t>Deal Wins / TCV</t>
  </si>
  <si>
    <t>TCV &gt;$8B/year (Tier-1)</t>
  </si>
  <si>
    <t>Total Contract Value of new deal wins signals forward revenue pipeline. Large deals ($50M+) provide multi-year visibility. TCS wins ~$10B+ annually in TCV.</t>
  </si>
  <si>
    <t>Attrition Rate (LTM)</t>
  </si>
  <si>
    <t>&lt;14%</t>
  </si>
  <si>
    <t>People = delivery capacity. Attrition &gt;18% inflates subcontracting costs and impacts project delivery. Post-2022 normalization, &lt;14% LTM is the new healthy band.</t>
  </si>
  <si>
    <t>Client Diversification</t>
  </si>
  <si>
    <t>Top 5 clients &lt;25% of revenue</t>
  </si>
  <si>
    <t>Concentration risk — loss of a top client can create 5-10% revenue cliff. Tier-1 firms are well-diversified; mid-tier IT (LTIMindtree, Mphasis) often have higher concentration.</t>
  </si>
  <si>
    <t>Utilization Rate</t>
  </si>
  <si>
    <t>80–85% (excl. trainees)</t>
  </si>
  <si>
    <t>Bench strength vs. delivery efficiency trade-off. &gt;85% = over-stretched (delivery risk); &lt;78% = underutilized workforce eating into margins.</t>
  </si>
  <si>
    <t>Asset-light business with minimal capex. ROCE 35-55% is standard for Tier-1 IT. Below 30% signals acquisition-driven goodwill drag or poor capital allocation.</t>
  </si>
  <si>
    <t>Digital (cloud, AI, cybersecurity) commands higher margins and faster growth than legacy maintenance. &gt;50% digital mix signals successful portfolio transformation.</t>
  </si>
  <si>
    <t>2. Software Products</t>
  </si>
  <si>
    <t>20–30% YoY</t>
  </si>
  <si>
    <t>Product companies are valued on growth trajectory. 20-30% growth justifies premium valuations. Tally (Tata Elxsi-type plays), Newgen, Intellect Design target this band.</t>
  </si>
  <si>
    <t>Subscription / Recurring Revenue %</t>
  </si>
  <si>
    <t>≥70% of revenue</t>
  </si>
  <si>
    <t>SaaS/subscription revenue is predictable and high-quality vs. one-time license fees. &gt;70% recurring = stable base; &lt;50% means revenue is lumpy and unpredictable.</t>
  </si>
  <si>
    <t>Software products should have 70-85% gross margins (near-zero marginal cost of delivery). &lt;60% means heavy customization services dragging down product margins.</t>
  </si>
  <si>
    <t>15–25% of revenue</t>
  </si>
  <si>
    <t>Product innovation requires sustained R&amp;D investment. Indian software cos. spend 15-25% vs. global SaaS at 20-30%. &lt;12% signals under-investment in product roadmap.</t>
  </si>
  <si>
    <t>Net Dollar Retention (NDR)</t>
  </si>
  <si>
    <t>≥110%</t>
  </si>
  <si>
    <t>NDR &gt;110% means existing customers are spending more year-over-year (upselling/cross-selling). &lt;100% = net churn (customers leaving or spending less). Critical for SaaS.</t>
  </si>
  <si>
    <t>Top 10 &lt;40% of revenue</t>
  </si>
  <si>
    <t>Product companies often start with few large clients. Top 10 &lt;40% shows diversification and product-market fit across multiple buyers, reducing single-client dependency.</t>
  </si>
  <si>
    <t>FCF Margin</t>
  </si>
  <si>
    <t>Free cash flow margin confirms the product business generates real cash. Growth-stage SaaS may run &lt;10% but mature products should achieve 15-25%.</t>
  </si>
  <si>
    <t>3. IT Consulting &amp; Solutions</t>
  </si>
  <si>
    <t>≥$40,000/year</t>
  </si>
  <si>
    <t>Consulting is a people business. Revenue/employee &gt;$40K signals higher-value engagements (strategy, architecture). &lt;$25K means commoditized staff augmentation.</t>
  </si>
  <si>
    <t>18–24%</t>
  </si>
  <si>
    <t>IT consulting margins are slightly lower than pure IT services due to higher onsite mix. 18-24% is healthy. Tata Elxsi ~28% (ER&amp;D premium); Mphasis ~16%.</t>
  </si>
  <si>
    <t>Domain Specialization</t>
  </si>
  <si>
    <t>≥2 verticals with &gt;15% each</t>
  </si>
  <si>
    <t>Specialized consulting commands premium billing rates. Firms strong in BFSI, healthcare, or manufacturing win stickier, higher-margin engagements vs. horizontal generalists.</t>
  </si>
  <si>
    <t>Client Stickiness (Revenue from repeat clients)</t>
  </si>
  <si>
    <t>≥85% from existing clients</t>
  </si>
  <si>
    <t>Consulting builds deep client relationships. &gt;85% repeat revenue = trusted advisor status. &lt;75% means the firm is constantly chasing new logos (expensive, uncertain).</t>
  </si>
  <si>
    <t>Billable Headcount Growth</t>
  </si>
  <si>
    <t>Revenue scales with headcount in consulting. Healthy 10-15% billable growth signals demand. Flat or negative = demand weakness or delivery automation replacing people.</t>
  </si>
  <si>
    <t>Offshore Mix</t>
  </si>
  <si>
    <t>40–60% offshore delivery</t>
  </si>
  <si>
    <t>Higher offshore mix improves margins (Indian costs vs. US billing rates). Best consulting firms balance onsite relationships (40%) with offshore delivery (60%) for optimal margins.</t>
  </si>
  <si>
    <t>Consulting is asset-light. ROCE &gt;30% is standard. Below 25% means M&amp;A goodwill drag or working capital inefficiency (long DSO common in consulting).</t>
  </si>
  <si>
    <t>4. BPO / IT-Enabled Services</t>
  </si>
  <si>
    <t>BPO/ITES growth driven by outsourcing of back-office, customer support, and knowledge processes. India captures ~35% of global BPO market.</t>
  </si>
  <si>
    <t>15–20%</t>
  </si>
  <si>
    <t>BPO margins are lower than IT services (labor-intensive, limited pricing power). 15-20% is healthy; &lt;12% signals commoditized voice-based services with high attrition.</t>
  </si>
  <si>
    <t>&lt;30%</t>
  </si>
  <si>
    <t>BPO attrition is structurally higher than IT services (entry-level roles, shift work). &lt;30% is good for BPO; &gt;40% means chronic recruitment costs and quality issues.</t>
  </si>
  <si>
    <t>Automation Penetration</t>
  </si>
  <si>
    <t>&gt;25% of processes automated</t>
  </si>
  <si>
    <t>RPA and AI automation is reshaping BPO. Companies automating &gt;25% of processes improve margins and reduce headcount dependency. Laggards face margin compression.</t>
  </si>
  <si>
    <t>Client Contract Tenure</t>
  </si>
  <si>
    <t>Avg contract &gt;3 years</t>
  </si>
  <si>
    <t>Longer contracts provide revenue visibility and reduce client acquisition costs. Multi-year contracts with embedded annual price escalators protect against margin erosion.</t>
  </si>
  <si>
    <t>≥$20,000/year</t>
  </si>
  <si>
    <t>BPO rev/employee is lower than IT services. &gt;$20K signals knowledge process outsourcing (KPO) or analytics — higher-value work. &lt;$15K = voice/transaction processing.</t>
  </si>
  <si>
    <t>US &lt;60%; Europe &gt;20%</t>
  </si>
  <si>
    <t>US dominates BPO demand but European and APAC markets are growing faster. Geographic diversification reduces regulatory and currency concentration risk.</t>
  </si>
  <si>
    <t>5. Cloud &amp; SaaS</t>
  </si>
  <si>
    <t>ARR / MRR Growth</t>
  </si>
  <si>
    <t>ARR growth ≥30% YoY; MRR expansion consistent</t>
  </si>
  <si>
    <t>Annual Recurring Revenue is the primary growth metric for SaaS businesses. Unlike IT services (project-based, linear), SaaS revenue is contractually recurring and compounds. Freshworks, Zoho (unlisted), and Druva are India's global SaaS leaders. ARR growth &gt;30% signals product-market fit and scalability. MRR (Monthly Recurring Revenue) trends show intra-year momentum. Decelerating ARR growth is the first sign of market saturation or competitive pressure.</t>
  </si>
  <si>
    <t>Net Revenue Retention (NRR)</t>
  </si>
  <si>
    <t>NRR ≥120%; gross retention ≥90%</t>
  </si>
  <si>
    <t>NRR measures how much existing customers spend year-over-year including upsells, cross-sells, and churn. NRR &gt;120% means the company grows 20% annually from existing customers alone — before any new customer acquisition. This is the single most important SaaS quality metric. Gross retention (before upsells) &gt;90% means low churn. NRR &lt;100% means the company is a leaky bucket — losing more revenue from churning customers than it gains from expansions.</t>
  </si>
  <si>
    <t>CAC Payback &amp; LTV/CAC</t>
  </si>
  <si>
    <t>CAC payback &lt;18 months; LTV/CAC ≥3x</t>
  </si>
  <si>
    <t>Customer Acquisition Cost payback period determines capital efficiency — how quickly the investment in acquiring a customer is recovered through subscription revenue. Payback &lt;12 months is excellent, &lt;18 months is good. LTV/CAC (Lifetime Value / Acquisition Cost) &gt;3x indicates the business model is healthy — each rupee spent acquiring customers generates 3+ rupees of lifetime value. SaaS companies with &lt;3x LTV/CAC are burning capital unsustainably.</t>
  </si>
  <si>
    <t>Gross margin ≥70% for pure SaaS; ≥60% for SaaS + services</t>
  </si>
  <si>
    <t>SaaS gross margins are fundamentally different from IT services (28-35%). Pure software delivery earns 70-85% gross margin because the marginal cost of serving an additional customer is near-zero (cloud infrastructure costs scale sub-linearly). Companies with &gt;75% gross margin have strong software economics. If gross margin is &lt;65%, the company likely has heavy professional services (implementation, customization) mixed in — which is less scalable.</t>
  </si>
  <si>
    <t>Rule of 40 (Growth + Margin)</t>
  </si>
  <si>
    <t>Revenue growth % + EBITDA margin % ≥40</t>
  </si>
  <si>
    <t>The Rule of 40 is the benchmark for SaaS business quality — the sum of revenue growth rate and profit margin should exceed 40%. A company growing 50% with -10% margin (40) is as healthy as one growing 15% with 25% margin (40). Companies above 40 are generating efficient growth. Below 40 signals either unsustainable spending or insufficient growth. This metric normalizes the growth-vs-profitability tradeoff that every SaaS company faces.</t>
  </si>
  <si>
    <t>Customer Concentration &amp; Cohort Analysis</t>
  </si>
  <si>
    <t>Top 10 customers &lt;25% of ARR; older cohorts expanding</t>
  </si>
  <si>
    <t>Customer concentration risk is critical in B2B SaaS. If the top 10 customers represent &gt;30% of ARR, losing 2-3 accounts causes material revenue decline. Cohort analysis tracks whether customers acquired 2-3 years ago are spending more (healthy) or less (unhealthy) today. The best SaaS businesses show 'smile curves' where older cohorts consistently expand. Heavy SMB concentration has lower concentration risk but higher churn rates.</t>
  </si>
  <si>
    <t>6. Cybersecurity</t>
  </si>
  <si>
    <t>ARR Growth &amp; Subscription Mix</t>
  </si>
  <si>
    <t>ARR growth ≥25%; subscription revenue ≥80% of total</t>
  </si>
  <si>
    <t>Cybersecurity is shifting from perpetual licenses to subscription models. Quick Heal (India's largest listed cybersecurity company) is transitioning to SaaS. Subscription revenue provides recurring, predictable cash flows. ARR growth &gt;25% indicates strong demand in an industry growing 15-20% globally. India's cybersecurity market is ₹25,000+ Cr and growing faster due to digital transformation and regulatory mandates (CERT-In, RBI cybersecurity framework).</t>
  </si>
  <si>
    <t>Renewal Rate &amp; Customer Retention</t>
  </si>
  <si>
    <t>Renewal rate ≥90%; logo churn &lt;5% annually</t>
  </si>
  <si>
    <t>Cybersecurity is inherently sticky — switching costs are very high (integration complexity, data migration, retraining). Renewal rates &gt;90% indicate product effectiveness and customer satisfaction. The best cybersecurity companies achieve 95%+ renewal rates. Low renewal signals either product inadequacy (failing to detect threats) or price sensitivity. Enterprise renewal rates are typically higher than SMB/consumer.</t>
  </si>
  <si>
    <t>R&amp;D Spend &amp; Threat Intelligence</t>
  </si>
  <si>
    <t>R&amp;D ≥15% of revenue; threat database updated real-time</t>
  </si>
  <si>
    <t>Cybersecurity is an arms race — new threats emerge daily. Companies that under-invest in R&amp;D fall behind in detection capability and lose customer trust. R&amp;D spend &gt;15% of revenue is necessary to maintain competitive threat detection. Proprietary threat intelligence feeds, AI/ML-based detection engines, and zero-day vulnerability research are key differentiators. Companies with large deployed bases generate more threat data, creating a network effect.</t>
  </si>
  <si>
    <t>Revenue CAGR ≥20%; enterprise segment growing faster</t>
  </si>
  <si>
    <t>India's cybersecurity demand is driven by: (a) RBI mandating cybersecurity frameworks for banks/NBFCs, (b) CERT-In requiring 6-hour incident reporting, (c) DPDP Act 2023 compliance needs, (d) rising digital payments creating attack surface. Companies growing enterprise revenue faster than consumer indicate product maturity and market trust. Government/defense contracts provide large, stable revenue streams.</t>
  </si>
  <si>
    <t>≥20% for product companies; ≥15% for services-heavy</t>
  </si>
  <si>
    <t>Pure-play cybersecurity product companies earn 20-30% EBITDA margins (similar to software). Companies with heavy implementation/managed services earn 12-18%. The margin profile indicates whether the company is a product business (scalable, high-margin) or a services business (linear, lower-margin). As subscription revenue grows, margins should expand due to operating leverage.</t>
  </si>
  <si>
    <t>Platform Breadth &amp; Cross-sell</t>
  </si>
  <si>
    <t>≥3 product lines; platform revenue &gt;50%</t>
  </si>
  <si>
    <t>The cybersecurity industry is consolidating from point solutions (just endpoint, just network, just cloud) to integrated platforms. Companies offering 3+ product lines (endpoint + network + cloud + identity) capture more wallet share per customer. Platform vendors like Palo Alto, CrowdStrike command premium valuations. Indian companies building platform capabilities have a larger addressable market.</t>
  </si>
  <si>
    <t>7. AI &amp; Data Analytics</t>
  </si>
  <si>
    <t>Revenue Growth (IP-led vs Services)</t>
  </si>
  <si>
    <t>Revenue CAGR ≥25%; IP/platform revenue ≥30% of total</t>
  </si>
  <si>
    <t>AI/analytics companies span a spectrum from pure services (project-based analytics consulting) to IP-led platforms (proprietary AI tools, pre-built models). Latent View Analytics, Tata Elxsi, and Persistent Systems have growing AI practices. IP-led revenue is higher-margin and more scalable. Companies with &gt;30% IP/platform revenue command premium valuations. Pure-services AI companies are essentially IT services firms with analytics branding.</t>
  </si>
  <si>
    <t>Client Engagement Depth &amp; Deal Size</t>
  </si>
  <si>
    <t>Average deal size growing; multi-year engagements ≥50%</t>
  </si>
  <si>
    <t>AI/analytics projects range from small proof-of-concepts (₹10-50 lakhs) to enterprise-wide transformations (₹10-50 Cr). Growing average deal sizes indicate the company is moving from tactical analytics to strategic AI programs. Multi-year contracts (2-3 year engagements) provide revenue visibility and deeper client relationships. Companies stuck in small, one-off analytics projects face revenue volatility and high client acquisition costs.</t>
  </si>
  <si>
    <t>≥22% for IP-led; ≥18% for services-heavy</t>
  </si>
  <si>
    <t>AI/analytics margins are higher than traditional IT services due to specialized talent premium and IP leverage. Pure analytics services earn 18-22% EBITDA margins (Latent View at ~28%). IP/platform-led companies earn 25-35%. Companies investing heavily in GenAI capabilities may see short-term margin compression (talent costs, GPU infrastructure) before operating leverage kicks in. Margin trends over 4-6 quarters matter more than absolute levels.</t>
  </si>
  <si>
    <t>Talent &amp; Capability (Data Scientists per 100 employees)</t>
  </si>
  <si>
    <t>Data scientists + ML engineers ≥30% of delivery team; attrition &lt;15%</t>
  </si>
  <si>
    <t>AI/analytics is talent-constrained — experienced data scientists and ML engineers are scarce globally. Companies with higher concentrations of specialized talent (data scientists, ML engineers, AI researchers) versus generic IT staff deliver superior solutions and earn premium billing rates. Attrition in AI talent is typically 18-25% — companies maintaining &lt;15% have stronger talent retention through challenging work, R&amp;D culture, and competitive compensation.</t>
  </si>
  <si>
    <t>GenAI Adoption &amp; Revenue Contribution</t>
  </si>
  <si>
    <t>GenAI-related revenue ≥10% of total; active GenAI engagements with top clients</t>
  </si>
  <si>
    <t>Generative AI is reshaping the analytics industry. Companies rapidly building GenAI capabilities (LLM fine-tuning, RAG implementations, AI copilots for enterprise) are capturing new demand. The transition from traditional BI/analytics to GenAI-powered insights is a revenue opportunity and a disruption risk simultaneously. Companies without meaningful GenAI revenue by 2026 risk being disrupted by competitors and by enterprises building in-house AI teams.</t>
  </si>
  <si>
    <t>≥25% for asset-light analytics; ≥18% overall</t>
  </si>
  <si>
    <t>AI/analytics companies are inherently asset-light (people + cloud infrastructure). This should translate to high ROCE (&gt;20%). Companies with ROCE below 18% are either over-investing in infrastructure (building AI labs, GPU farms) or have poor capital discipline. ROCE trends indicate whether AI investments are generating returns or are speculative. Compare with IT services peers to assess relative capital efficiency.</t>
  </si>
  <si>
    <t>Services (4 industries)</t>
  </si>
  <si>
    <t>Staffing &amp; HR Services</t>
  </si>
  <si>
    <t>≥15% YoY; organic growth dominant</t>
  </si>
  <si>
    <t>Services companies grow through client acquisition, geographic expansion, and cross-selling. India's organized services sector is growing at 15-20% as formalization drives shift from unorganized to organized (staffing, security, facility management). Revenue growth driven by organic client wins is higher quality than acquisition-led growth.</t>
  </si>
  <si>
    <t>Facility Management &amp; Security</t>
  </si>
  <si>
    <t>Client Retention / Repeat Revenue</t>
  </si>
  <si>
    <t>Client retention &gt;85%; repeat revenue &gt;70% of total</t>
  </si>
  <si>
    <t>Services are relationship businesses — acquiring a new client costs 5-7x retaining an existing one. High retention rates (&gt;85%) signal service quality and client stickiness. Repeat revenue provides visibility and reduces volatility. Companies with multi-year contracts (facility management, staffing) have more predictable cash flows than project-based ones (consulting, travel).</t>
  </si>
  <si>
    <t>Online Platforms &amp; Classifieds</t>
  </si>
  <si>
    <t>Rising trend; technology-driven productivity gains</t>
  </si>
  <si>
    <t>Services companies sell human time and expertise. Revenue per employee is the fundamental productivity measure. Technology adoption (automation, AI, SaaS tools) drives this upward without proportional headcount growth. Staffing companies have low rev/employee (~₹2-3L) because they earn thin margins on large headcounts. Platforms have very high rev/employee (₹1Cr+) because technology replaces manual processes.</t>
  </si>
  <si>
    <t>Professional &amp; Consulting Services</t>
  </si>
  <si>
    <t>≥18% for asset-light; ≥12% for asset-heavy (hotels, travel)</t>
  </si>
  <si>
    <t>Services businesses range from asset-light (staffing, consulting, platforms) to moderately asset-heavy (hotels, education with physical campuses). Asset-light services should achieve ROCE &gt;18% because capital employed is minimal. Those with physical assets should target &gt;12%. ROCE below cost of capital signals the business model isn't generating economic value despite apparent profitability.</t>
  </si>
  <si>
    <t>1. Staffing &amp; HR Services</t>
  </si>
  <si>
    <t>Associate Headcount Growth</t>
  </si>
  <si>
    <t>≥15% YoY; general + specialized staffing both growing</t>
  </si>
  <si>
    <t>Staffing companies (Quess Corp ~500K associates, TeamLease ~300K, SIS) earn revenue proportional to deployed headcount. India's staffing penetration is ~1.3% (vs 3-4% globally), implying massive headroom. Growth comes from: (a) formalization (GST/labor code compliance driving shift to organized), (b) flexi-staffing adoption by IT/BFSI/manufacturing, (c) GCC (Global Capability Center) hiring boom.</t>
  </si>
  <si>
    <t>Revenue per Associate</t>
  </si>
  <si>
    <t>≥₹2.5L/associate/year; rising with skill-mix improvement</t>
  </si>
  <si>
    <t>Higher revenue per associate means higher-skilled placements at better billing rates. General staffing (data entry, warehouse) earns ₹1.5-2L/associate while IT/specialized staffing earns ₹5-15L. Companies shifting mix toward specialized/IT staffing see ARPU expansion without proportional cost increase.</t>
  </si>
  <si>
    <t>≥5% for general staffing; ≥10% for specialized/IT staffing</t>
  </si>
  <si>
    <t>Staffing is inherently low-margin (3-8%) because the primary cost is associate salaries. Margin improvement comes from: (a) operational efficiency (tech-driven matching, onboarding), (b) mix shift to specialized/IT, (c) value-added services (payroll management, compliance). Each 100bps margin improvement is significant at scale.</t>
  </si>
  <si>
    <t>Attrition / Fill Rate</t>
  </si>
  <si>
    <t>Associate attrition &lt;50% annualized; fill rate &gt;80%</t>
  </si>
  <si>
    <t>Staffing companies face dual attrition — associates leave placements and clients churn. High associate attrition (&gt;60% annualized is common) increases recruitment/onboarding cost. Fill rate (% of client requirements fulfilled) measures delivery capability — &lt;70% means lost revenue.</t>
  </si>
  <si>
    <t>Top 10 clients &lt;35% of revenue; multi-sector exposure</t>
  </si>
  <si>
    <t>Over-reliance on a few large clients creates concentration risk. If a top client insources or switches staffing provider, revenue drops sharply. Sector diversification (IT + BFSI + manufacturing + healthcare) also reduces cyclical risk.</t>
  </si>
  <si>
    <t>Working Capital / DSO</t>
  </si>
  <si>
    <t>DSO &lt;60 days; payroll cycle fully funded by collections</t>
  </si>
  <si>
    <t>Staffing companies pay associates monthly/weekly but collect from clients on 30-90 day terms. This timing mismatch creates massive working capital needs. DSO &lt;60 days means the company collects before the next payroll cycle. Companies with factoring/bill discounting facilities manage this better.</t>
  </si>
  <si>
    <t>Despite thin margins, staffing can generate high ROCE because capital employed is minimal (no factories, minimal fixed assets). The key is working capital efficiency — companies that manage DSO tightly convert thin margins into strong returns on capital.</t>
  </si>
  <si>
    <t>2. Facility Management &amp; Security</t>
  </si>
  <si>
    <t>≥15% YoY; organic growth &gt;10%</t>
  </si>
  <si>
    <t>India's facility management market is ~₹1.2L Cr, growing at 15-18% as corporates, hospitals, airports, and malls outsource non-core functions. SIS (India's largest security services), BVG India, and Sodexo India lead. Growth comes from: (a) new client acquisition, (b) contract value expansion (cross-selling FM + security + catering), (c) government contracts (Smart Cities, railways).</t>
  </si>
  <si>
    <t>Contract Value &amp; Duration</t>
  </si>
  <si>
    <t>Average contract &gt;3 years; annual contract value growing &gt;10%</t>
  </si>
  <si>
    <t>Longer contracts provide revenue visibility. FM contracts are typically 3-5 years with annual escalation clauses (5-8% to cover wage inflation). Companies with a weighted average contract life &gt;3 years have lower revenue volatility. Large integrated contracts (facility management + security + housekeeping + catering) are stickier than single-service contracts.</t>
  </si>
  <si>
    <t>≥8% for security; ≥10% for integrated FM</t>
  </si>
  <si>
    <t>FM/security is people-intensive with razor-thin margins. The path to margin expansion: (a) technology deployment (IoT sensors, automated surveillance reduces guard count), (b) integrated contracts (higher value, fewer competitors), (c) wage arbitrage (operating in lower-wage geographies). SIS operates at ~7-8% EBITDA; Quess FM at ~5-6%.</t>
  </si>
  <si>
    <t>Employee Cost as % of Revenue</t>
  </si>
  <si>
    <t>Employee cost &lt;80% of revenue; declining with automation</t>
  </si>
  <si>
    <t>The #1 cost line. Security guards, housekeeping staff, and FM technicians are the core expense. Minimum wage compliance (varies by state) sets the floor. Companies using technology to improve guard-to-area ratio or automate monitoring can reduce employee cost intensity. Employee cost &gt;85% of revenue leaves almost no room for profit.</t>
  </si>
  <si>
    <t>Client Retention</t>
  </si>
  <si>
    <t>Contract renewal rate &gt;90%</t>
  </si>
  <si>
    <t>Switching FM/security providers is disruptive (re-training, handover risk), creating natural stickiness. Retention &gt;90% signals service quality. Below 80% means the company is losing competitive bids, likely on pricing.</t>
  </si>
  <si>
    <t>DSO &lt;75 days; payroll funded by operational cash flow</t>
  </si>
  <si>
    <t>Same working capital challenge as staffing — monthly payroll for thousands of employees while collecting from clients on 60-90 day terms. Government clients can stretch DSO to 120+ days. Companies with strong private sector client mix have better DSO.</t>
  </si>
  <si>
    <t>FM/security is asset-light (minimal capex beyond vehicles and equipment). ROCE should be &gt;12% despite thin margins because capital employed is low. Companies investing in technology (drones, IoT, automation) may see temporarily lower ROCE that improves as tech-enabled contracts scale.</t>
  </si>
  <si>
    <t>3. Online Platforms &amp; Classifieds</t>
  </si>
  <si>
    <t>GMV / Gross Transaction Value</t>
  </si>
  <si>
    <t>GMV growing &gt;25% YoY; take rate stable or rising</t>
  </si>
  <si>
    <t>Platform economics are defined by GMV (total transaction value flowing through the platform) and take rate (platform's commission). Info Edge (Naukri.com, 99acres, Jeevansathi) earns on listing fees. IndiaMart earns subscription from SME suppliers. Zomato/Swiggy earn commission + delivery fees. GMV growth with stable take rate = sustainable revenue growth.</t>
  </si>
  <si>
    <t>Monthly Active Users / Paid Subscribers</t>
  </si>
  <si>
    <t>MAU growing &gt;15% YoY; paid subscriber conversion &gt;10%</t>
  </si>
  <si>
    <t>Platforms have two-sided network effects — more users attract more sellers/service providers, which attracts more users. MAU measures platform health. Converting free users to paid subscribers (IndiaMart's paid supplier base, Naukri's recruiter subscriptions) is the monetization key. Paid subscriber growth is the purest revenue driver.</t>
  </si>
  <si>
    <t>≥20% for mature platforms; EBITDA positive for growth-stage</t>
  </si>
  <si>
    <t>Platform businesses have high gross margins (60-80%) because marginal cost of serving one more user is near-zero. But marketing/sales spend keeps EBITDA suppressed during growth phase. Mature platforms (Naukri &gt;40% EBITDA margin, IndiaMart &gt;30%) are highly profitable. New-age platforms (Zomato, Paytm) are on path to profitability.</t>
  </si>
  <si>
    <t>Customer Acquisition Cost (CAC) vs LTV</t>
  </si>
  <si>
    <t>LTV/CAC &gt;3x; CAC declining as brand strengthens</t>
  </si>
  <si>
    <t>Platform companies burn cash on user acquisition (digital marketing, cashbacks, promotions). If Lifetime Value doesn't exceed CAC by 3x+, the unit economics are broken. Mature platforms with strong brands (Naukri, IndiaMART) have very low CAC because users come organically. New platforms (quick commerce) still have high CAC.</t>
  </si>
  <si>
    <t>Network Effect Strength</t>
  </si>
  <si>
    <t>Winner-take-most in category; &gt;30% market share</t>
  </si>
  <si>
    <t>Platforms with strong network effects become natural monopolies — Naukri has &gt;70% market share in online recruitment, IndiaMART dominates B2B classifieds. Network effects create a moat: more listings attract more buyers, which attracts more sellers. Market share &gt;30% in a platform business often leads to 60%+ over time.</t>
  </si>
  <si>
    <t>≥₹50L/employee; highly leveraged through technology</t>
  </si>
  <si>
    <t>Platform businesses should generate outsized revenue per employee because technology does the heavy lifting. Naukri generates ~₹80L/employee. Low revenue per employee for a platform signals either early-stage investment in headcount or an operations-heavy model (delivery platforms like Zomato have lower rev/employee due to fleet management).</t>
  </si>
  <si>
    <t>FCF positive; FCF/Revenue &gt;15% for mature platforms</t>
  </si>
  <si>
    <t>The ultimate validation of platform economics — does the business generate real cash? Mature platforms should convert 15-25% of revenue to FCF. Negative FCF in a mature platform (&gt;5 years old, market leader) is a red flag. Growth-stage platforms get a pass if the path to FCF positivity is clear.</t>
  </si>
  <si>
    <t>4. Professional &amp; Consulting Services</t>
  </si>
  <si>
    <t>≥15% YoY; organic growth driven by new engagements</t>
  </si>
  <si>
    <t>India's professional services market includes IT consulting (Tata Elxsi, KPIT Technologies), management consulting (local arms of MBB), engineering services (Cyient, L&amp;T Technology Services), and registrar/transfer agents (CAMS, KFin Technologies). Revenue growth should be driven by new client wins and engagement expansion, not just fee inflation.</t>
  </si>
  <si>
    <t>Revenue per Consultant / Employee</t>
  </si>
  <si>
    <t>≥₹25L/employee and rising; utilization &gt;75%</t>
  </si>
  <si>
    <t>Consulting is a time-and-material business — revenue is (billable hours × billing rate × headcount × utilization). Revenue per employee captures all these factors. Companies with domain expertise (L&amp;T Technology in engineering, KPIT in automotive) command premium billing rates. Utilization &gt;75% means minimal bench.</t>
  </si>
  <si>
    <t>≥18% for domain consulting; ≥25% for niche/IP-led</t>
  </si>
  <si>
    <t>High-value consulting (strategy, technology, specialized engineering) operates at 18-25% EBITDA margins. CAMS/KFin (registrar &amp; transfer agents) operate at 40%+ margins due to monopolistic market position and technology-led delivery. Companies with proprietary tools/IP earn higher margins than pure people-arbitrage models.</t>
  </si>
  <si>
    <t>Top 10 clients &lt;40% of revenue; no single client &gt;10%</t>
  </si>
  <si>
    <t>Professional services are relationship-driven — losing a key client can significantly impact revenue. Companies with diversified client bases across sectors and geographies have more resilient revenue. CAMS has inherent diversification (serves all AMCs in India) while consulting firms may be concentrated.</t>
  </si>
  <si>
    <t>Employee Retention / Attrition</t>
  </si>
  <si>
    <t>Attrition &lt;15%; experienced talent (5+ years) retention &gt;90%</t>
  </si>
  <si>
    <t>Consulting companies' primary asset is their people. High attrition (&gt;20%) means constant recruitment, training costs, and disrupted client relationships. Experienced consultants generate disproportionate revenue (3-5x of freshers) due to higher billing rates and client relationships. Retaining senior talent is critical.</t>
  </si>
  <si>
    <t>Order Book / Pipeline</t>
  </si>
  <si>
    <t>Order book &gt;1x annual revenue; pipeline growing</t>
  </si>
  <si>
    <t>For project-based consulting, order book provides revenue visibility. Engineering services companies (Cyient, LTTS) report order book metrics similar to IT services. A book-to-bill ratio &gt;1x means the company is winning more business than it's executing — bullish for future growth.</t>
  </si>
  <si>
    <t>Consulting is highly asset-light (laptops, office space, travel). Capital employed is minimal, so even moderate profits should generate excellent ROCE. &lt;15% ROCE in a consulting business signals poor billing rates, low utilization, or working capital issues.</t>
  </si>
  <si>
    <t>Telecommunication (2 industries)</t>
  </si>
  <si>
    <t>Telecom Services</t>
  </si>
  <si>
    <t>ARPU Growth</t>
  </si>
  <si>
    <t>≥₹200/month; &gt;10% YoY growth</t>
  </si>
  <si>
    <t>ARPU is the single most important metric — it captures pricing power, mix improvement, and data monetization. Indian telecom ARPU is among the lowest globally (~₹180-210); ≥₹200 is the inflection point for profitability.</t>
  </si>
  <si>
    <t>Telecom Equipment</t>
  </si>
  <si>
    <t>Subscriber Additions</t>
  </si>
  <si>
    <t>Net adds &gt;2M/quarter</t>
  </si>
  <si>
    <t>Net subscriber additions show market share trajectory. Quality matters more than quantity — 4G/5G subscriber mix is key as 2G users generate negligible ARPU.</t>
  </si>
  <si>
    <t>Tower Infrastructure</t>
  </si>
  <si>
    <t>Telecom is a scale business with high fixed costs (tower, spectrum, fiber). EBITDA margin &gt;35% indicates operating leverage is kicking in. Jio ~50%, Airtel ~53%, Vi struggles at ~40%.</t>
  </si>
  <si>
    <t>Internet &amp; Digital Services</t>
  </si>
  <si>
    <t>Net Debt/EBITDA &lt;3.5x</t>
  </si>
  <si>
    <t xml:space="preserve">   </t>
  </si>
  <si>
    <t>Spectrum Liability</t>
  </si>
  <si>
    <t>&lt;15% of annual revenue</t>
  </si>
  <si>
    <t>Spectrum renewal costs (₹1.5L Cr+ in India 5G auctions) are lumpy liabilities. &lt;15% of annual revenue in spectrum obligations ensures they don't crowd out network investment.</t>
  </si>
  <si>
    <t>Capex Intensity</t>
  </si>
  <si>
    <t>Capex/Revenue &lt;20%</t>
  </si>
  <si>
    <t>5G rollout requires heavy capex but should normalize to &lt;20% of revenue at maturity. &gt;25% means the company is still in investment mode and free cash flow will remain depressed.</t>
  </si>
  <si>
    <t>1. Telecom Services</t>
  </si>
  <si>
    <t>ARPU (Average Revenue Per User)</t>
  </si>
  <si>
    <t>ARPU captures pricing power, data monetization, and subscriber quality in one metric. Indian telecom ARPU is among the lowest globally (~₹180-210). ≥₹200 is the profitability inflection point; Jio ~₹195, Airtel ~₹210.</t>
  </si>
  <si>
    <t>Subscriber Market Share (4G/5G)</t>
  </si>
  <si>
    <t>Top 2; 4G/5G subs &gt;80% of base</t>
  </si>
  <si>
    <t>India is a 3-player market (Jio, Airtel, Vi). Market share in 4G/5G subscribers matters more than total base — 2G users generate negligible ARPU. Jio ~37%, Airtel ~34% subscriber share. Vi's viability remains uncertain.</t>
  </si>
  <si>
    <t>Telecom has massive fixed costs (towers, spectrum, fiber). Operating leverage means each incremental subscriber adds revenue at near-zero marginal cost. Jio ~50%, Airtel ~53%. &lt;40% signals sub-scale operations or high customer acquisition costs.</t>
  </si>
  <si>
    <t>Net Debt/EBITDA</t>
  </si>
  <si>
    <t>&lt;3.0x</t>
  </si>
  <si>
    <t>Spectrum EMIs + tower lease obligations + 5G capex create massive debt burdens. Net Debt/EBITDA &lt;3.0x is comfortable; &gt;4x triggers credit downgrades and limits investment capacity. Airtel ~2.5x, Vi &gt;5x (stressed).</t>
  </si>
  <si>
    <t>Data Usage per Subscriber</t>
  </si>
  <si>
    <t>≥20 GB/month; growing</t>
  </si>
  <si>
    <t>India leads globally in data consumption (~20 GB/user/month). Rising data usage drives network investment but also justifies tariff hikes. 5G use cases (FWA, enterprise) will push per-user data consumption even higher.</t>
  </si>
  <si>
    <t>Capex/Revenue</t>
  </si>
  <si>
    <t>&lt;20% (post-5G rollout)</t>
  </si>
  <si>
    <t>5G rollout requires heavy upfront capex (Jio ~₹2L Cr, Airtel ~₹1L Cr over 3 years). Post-rollout, capex should normalize to &lt;20% of revenue. &gt;25% means the operator is still in investment mode with depressed free cash flow.</t>
  </si>
  <si>
    <t>FCF yield ≥3%</t>
  </si>
  <si>
    <t>Telecom historically destroyed shareholder value through perpetual capex cycles. FCF yield &gt;3% signals the business generates real returns after spectrum payments and network investment. Airtel turned FCF-positive post-2021 tariff hikes.</t>
  </si>
  <si>
    <t>Tower / Fiber Ownership</t>
  </si>
  <si>
    <t>Own/controlled infrastructure &gt;60%</t>
  </si>
  <si>
    <t>Operators with owned tower/fiber infrastructure (Jio's fiber-first approach, Airtel via Indus Towers) have lower per-site rental costs and can monetize infrastructure via enterprise/FTTH. Pure renters face escalating tower lease costs.</t>
  </si>
  <si>
    <t>2. Telecom Equipment</t>
  </si>
  <si>
    <t>India's 5G rollout and BharatNet rural fiber program drive equipment demand. Domestic manufacturers (Tejas Networks, HFCL, Sterlite Tech) benefit from PLI scheme and 'trusted source' mandates excluding Chinese vendors.</t>
  </si>
  <si>
    <t>Order book ≥2x annual revenue</t>
  </si>
  <si>
    <t>Telecom equipment orders are lumpy (large Govt/operator tenders). Order book &gt;2x revenue provides multi-year visibility. BSNL 4G/5G orders (₹30,000+ Cr) and BharatNet Phase III are massive demand drivers.</t>
  </si>
  <si>
    <t>Telecom equipment manufacturing (optical fiber, routers, switches, 4G/5G radios) earns 12-20% EBITDA depending on product complexity. &gt;15% signals technology differentiation vs. commodity cable/fiber manufacturing at 10-12%.</t>
  </si>
  <si>
    <t>R&amp;D &gt;8% of revenue; 4G/5G product portfolio</t>
  </si>
  <si>
    <t>Telecom equipment is a technology business. Companies with proprietary 4G/5G products (Tejas Networks' O-RAN solutions) earn higher margins and win strategic orders. Without R&amp;D, companies remain cable/fiber commodity players.</t>
  </si>
  <si>
    <t>Govt / PLI Incentive Capture</t>
  </si>
  <si>
    <t>PLI incentive &gt;2% of revenue; trusted vendor status</t>
  </si>
  <si>
    <t>Govt PLI scheme for telecom equipment provides 4-7% incentive on incremental production. 'Trusted source' mandate (excluding Chinese vendors) reserves the Indian market for domestic/allied manufacturers. Both are multi-year tailwinds.</t>
  </si>
  <si>
    <t>Indian telecom equipment companies are emerging as alternatives to Chinese vendors (Huawei, ZTE) in Africa, SE Asia, and Middle East. &gt;20% exports validates global competitiveness and reduces dependence on Indian operator capex cycles.</t>
  </si>
  <si>
    <t>Telecom equipment manufacturing is moderately capital-intensive (testing labs, SMT lines, clean rooms). ROCE &gt;15% signals efficient capital deployment. Companies with asset-light design/software focus achieve higher ROCE than hardware-only players.</t>
  </si>
  <si>
    <t>3. Tower Infrastructure</t>
  </si>
  <si>
    <t>Tenancy Ratio</t>
  </si>
  <si>
    <t>Tenancy ratio ≥1.8x; improving trend</t>
  </si>
  <si>
    <t>Tenancy ratio = total tenancies / total towers. Each additional tenant on an existing tower is almost pure margin (incremental cost is just power and minor maintenance). Indus Towers operates at ~1.7x tenancy. Moving from 1.5x to 2.0x can increase EBITDA margin by 8-12 percentage points. The 5G rollout is driving incremental tenancies as operators add 5G equipment to existing towers. Tenancy ratio is the single most important metric for tower economics.</t>
  </si>
  <si>
    <t>Tower Addition &amp; Co-location Revenue Growth</t>
  </si>
  <si>
    <t>Net tower additions ≥5% YoY; co-location revenue growing</t>
  </si>
  <si>
    <t>Tower portfolio growth drives long-term revenue. India has ~700,000 towers. 5G densification requires small cells and new macro towers. Companies adding towers in high-demand urban areas capture higher rental yields. Co-location revenue (renting space on existing towers to multiple operators) has 75-85% incremental margins. Companies with strong tower addition pipelines and high co-location growth have superior revenue visibility.</t>
  </si>
  <si>
    <t>≥50% EBITDA margin; improving with tenancy</t>
  </si>
  <si>
    <t>Tower companies have high operating leverage — once a tower is built, the incremental cost of adding tenants is minimal. Indus Towers achieves ~50% EBITDA margin. Energy cost (diesel for tower power backup) is the largest operating cost at 25-30% of revenue. Companies transitioning to grid power, solar, and lithium-ion batteries reduce energy costs structurally. Every 0.1x improvement in tenancy adds ~2-3% to EBITDA margin.</t>
  </si>
  <si>
    <t>Customer Concentration &amp; Contract Terms</t>
  </si>
  <si>
    <t>No single customer &gt;40% of revenue; average contract tenure ≥10 years</t>
  </si>
  <si>
    <t>Indian tower companies face customer concentration risk — Bharti Airtel, Vodafone Idea, and Jio are the only 3 customers. Vodafone Idea's financial stress directly impacted Indus Towers' receivables. Long-term contracts (10-15 years) with escalation clauses (2-3% annual rental increase) provide revenue visibility. Exit penalties and locked-in equipment create switching costs. Diversification into enterprise tenants (ISPs, fiber operators) reduces concentration.</t>
  </si>
  <si>
    <t>Net Debt / EBITDA &amp; FCF Generation</t>
  </si>
  <si>
    <t>Net Debt/EBITDA &lt;3x; positive FCF after maintenance capex</t>
  </si>
  <si>
    <t>Tower companies are capital-intensive upfront but generate strong free cash flow once towers are operational. Maintenance capex is only 3-5% of revenue. Net Debt/EBITDA should be declining as the tower portfolio matures. Companies with &lt;3x leverage have capacity for dividend payouts and tower acquisitions. FCF yield &gt;5% indicates the business is self-funding and can return capital to shareholders.</t>
  </si>
  <si>
    <t>Energy Cost Optimization</t>
  </si>
  <si>
    <t>Grid + renewable power ≥70% of tower energy; diesel &lt;30%</t>
  </si>
  <si>
    <t>Diesel-powered tower backup is the largest controllable cost. Companies converting towers from diesel generators to grid power, solar panels, and lithium-ion batteries achieve 15-25% reduction in energy costs per tower. Indus Towers is converting ~150,000 sites to green energy. ESG-focused investors increasingly evaluate tower companies on their energy transition progress. Energy cost per tower per month is a key operational KPI.</t>
  </si>
  <si>
    <t>4. Internet &amp; Digital Services</t>
  </si>
  <si>
    <t>Digital communications (CPaaS, CDN, enterprise messaging, AdTech) is growing 20-30% driven by enterprise digital transformation. Route Mobile and Tanla Platforms lead in CPaaS (Communication Platform as a Service). Affle India dominates mobile AdTech. Tata Communications provides enterprise connectivity. Revenue growth should come from platform expansion (new channels: WhatsApp, RCS) and enterprise customer additions, not just volume growth on existing channels.</t>
  </si>
  <si>
    <t>Platform Revenue vs Transactional Revenue</t>
  </si>
  <si>
    <t>Platform/subscription revenue ≥40% of total; growing faster than transactional</t>
  </si>
  <si>
    <t>CPaaS companies earn revenue per message/transaction (low-margin, volume-driven) or through platform subscriptions (higher-margin, recurring). Route Mobile's platform revenue is growing as a share of total. Tanla Platforms' Trubloq/Wisely platforms generate SaaS-like recurring revenue. The shift from transactional to platform revenue drives margin expansion and valuation re-rating. Companies stuck in pure transactional models face commoditization and margin pressure.</t>
  </si>
  <si>
    <t>≥18% for platform companies; ≥12% for pure messaging</t>
  </si>
  <si>
    <t>Digital services margins vary by business model. Platform/SaaS companies (Affle India at 25-30% EBITDA) earn higher margins than transactional messaging companies (Route Mobile at 10-14%). CDN and enterprise connectivity (Tata Communications) earn 15-20%. Margin expansion from operating leverage (platform costs are largely fixed) is a key value driver. Companies with declining margins despite growing revenue may be losing pricing power to competitors.</t>
  </si>
  <si>
    <t>Enterprise Client Base &amp; Retention</t>
  </si>
  <si>
    <t>Enterprise clients ≥500; annual churn &lt;10%; top 10 clients &lt;30%</t>
  </si>
  <si>
    <t>Enterprise customers provide larger deal sizes, longer contracts, and higher margins than SMB/retail. Companies with growing enterprise client bases and low churn demonstrate product stickiness. Client concentration is a risk — if the top 5 clients represent &gt;40% of revenue, loss of any one creates material impact. Diversification across verticals (BFSI, e-commerce, healthcare, government) provides stability.</t>
  </si>
  <si>
    <t>International revenue ≥30%; presence in ≥15 countries</t>
  </si>
  <si>
    <t>Indian digital services companies are expanding globally. Route Mobile operates in 25+ countries. Affle India derives significant revenue from Southeast Asia and Middle East. Geographic diversification provides currency benefits, reduces India-specific regulatory risk, and accesses faster-growing markets. Companies with strong international presence command premium valuations as global platforms.</t>
  </si>
  <si>
    <t>Technology &amp; Innovation (IP)</t>
  </si>
  <si>
    <t>Proprietary platform/IP; AI/ML-powered capabilities deployed</t>
  </si>
  <si>
    <t>Technology differentiation through proprietary platforms, AI-powered solutions, and patented IP creates competitive moats. Tanla's blockchain-based DLT platform (Trubloq) is a regulatory-mandated solution. Affle's AI-driven user acquisition platform has proprietary data assets. Companies with strong IP portfolios are defensible against commoditization. R&amp;D spend (&gt;5% of revenue) and patent filings indicate innovation commitment.</t>
  </si>
  <si>
    <t>Power (2 industries)</t>
  </si>
  <si>
    <t>Power Generation</t>
  </si>
  <si>
    <t>Plant Load Factor (PLF)</t>
  </si>
  <si>
    <t>≥75% (thermal); ≥22% (renewable CUF)</t>
  </si>
  <si>
    <t>PLF measures plant efficiency. India thermal avg. ~65-70%; top plants &gt;80%. For renewables, CUF &gt;22% (solar) / &gt;30% (wind) is efficient. Higher PLF = better fixed cost absorption.</t>
  </si>
  <si>
    <t>Power Distribution</t>
  </si>
  <si>
    <t>PPA Visibility</t>
  </si>
  <si>
    <t>≥80% contracted capacity</t>
  </si>
  <si>
    <t>Long-term PPAs (Power Purchase Agreements) provide revenue visibility for 15-25 years. &gt;80% contracted = predictable cash flows; merchant-heavy portfolio has price volatility risk.</t>
  </si>
  <si>
    <t>Renewable Energy</t>
  </si>
  <si>
    <t>Debt/Equity &lt;1.5x</t>
  </si>
  <si>
    <t>Power is capital-intensive (₹5-8 Cr/MW for thermal). Debt/Equity &lt;1.5x is manageable; &gt;2x risks distress during DISCOM payment delays. Many power cos. failed on overleveraging.</t>
  </si>
  <si>
    <t>Power Transmission</t>
  </si>
  <si>
    <t>DISCOM payment delays (60-180 days common in India) trap cash in receivables. CFO/EBITDA &gt;70% confirms actual cash collection despite payment cycle issues.</t>
  </si>
  <si>
    <t>Energy Storage &amp; Batteries</t>
  </si>
  <si>
    <t>Fuel Security</t>
  </si>
  <si>
    <t>Coal linkage &gt;90%; Gas: APM allocation &gt;70% or long-term RLNG contract</t>
  </si>
  <si>
    <t>Fuel availability is an existential risk — coal shortages forced plant shutdowns in India (2021-22 crisis). &gt;90% fuel linkage from Coal India/imports ensures continuous generation. For gas-based plants (~25 GW installed, most stranded), gas availability and price are the binding constraint: domestic APM gas allocation, dependence on imported RLNG ($12-18/MMBTU vs $6-8 APM), and KG-Basin production trajectory (Reliance-BP) directly determine whether these plants run at all. Gas-based PLF in India averages only 20-25% vs 55-65% for coal — almost entirely a fuel availability/cost issue.</t>
  </si>
  <si>
    <t>Regulated utility ROEs are set by CERC/SERC at ~15.5% on equity base. Actual ROCE &gt;10% through-cycle is healthy given the regulated return framework and debt-heavy capital structure.</t>
  </si>
  <si>
    <t>Regulatory Risk</t>
  </si>
  <si>
    <t>Minimal tariff-order delays</t>
  </si>
  <si>
    <t>Tariff orders from state regulators determine revenue. Delays in tariff revisions squeeze margins. Companies in states with proactive regulators (Gujarat, Maharashtra) face lower regulatory risk.</t>
  </si>
  <si>
    <t>1. Power Generation</t>
  </si>
  <si>
    <t>Plant Load Factor (PLF) / CUF</t>
  </si>
  <si>
    <t>≥75% (thermal); CUF ≥22% (solar), ≥30% (wind)</t>
  </si>
  <si>
    <t>PLF measures how efficiently a plant runs vs. rated capacity. India thermal avg ~65-70%; top plants (NTPC) &gt;80%. For renewables, CUF &gt;22% (solar) / &gt;30% (wind) signals good site selection and equipment quality.</t>
  </si>
  <si>
    <t>PPA Coverage</t>
  </si>
  <si>
    <t>≥80% of capacity under long-term PPA</t>
  </si>
  <si>
    <t>Power Purchase Agreements (15-25 year contracts with DISCOMs) guarantee offtake and revenue. &gt;80% contracted = predictable cash flows. Merchant exposure adds upside but brings price volatility — 2022 spot prices swung from ₹2 to ₹20/unit.</t>
  </si>
  <si>
    <t>Fuel Cost / Energy Charge</t>
  </si>
  <si>
    <t>Fuel cost pass-through ≥90%; or low-cost renewable</t>
  </si>
  <si>
    <t>Thermal generators pass fuel costs to DISCOMs via Energy Charge. &gt;90% pass-through protects margins from coal/gas price volatility. For gas-based plants (NTPC Kawas, Torrent Power, GMR), economics depend critically on gas price — at &gt;$10/MMBTU most plants are unviable without subsidized APM gas or pooled pricing. Variable charge for gas plants is ₹4-7/kWh vs ₹2-3/kWh for coal — making dispatch merit-order unfavorable. Monitor: (a) APM gas allocation %, (b) RLNG spot vs contract price, (c) domestic gas production growth (KG-D6, CBM). Renewable generators have zero fuel cost — LCOE at ₹2-3/unit makes them the cheapest source. Hybrid (RE + gas peaker) is emerging as the transition model.</t>
  </si>
  <si>
    <t>≥25% (thermal); ≥70% (renewable)</t>
  </si>
  <si>
    <t>Thermal plants earn regulated returns on equity (~15.5% by CERC) but have high fuel pass-through costs, so EBITDA margin is 25-35%. Renewables have near-zero variable cost, yielding 70-85% EBITDA margin. Compare within type, not across.</t>
  </si>
  <si>
    <t>&lt;1.5x (thermal); &lt;2.0x (renewable)</t>
  </si>
  <si>
    <t>Power generation is capital-intensive (₹5-8 Cr/MW thermal, ₹4-6 Cr/MW solar). D/E &lt;1.5x is manageable for thermal given DISCOM payment delays (60-180 days). Renewables tolerate slightly higher leverage due to predictable 25-year PPA cash flows.</t>
  </si>
  <si>
    <t>Capacity Addition Pipeline</t>
  </si>
  <si>
    <t>≥15% capacity addition over 3 years</t>
  </si>
  <si>
    <t>India targets 500 GW non-fossil capacity by 2030 (from ~190 GW). Companies with 15%+ capacity expansion are positioned for this structural build-out. NTPC Green, Adani Green, Tata Power lead in pipeline.</t>
  </si>
  <si>
    <t>≥10% (thermal); ≥8% (renewable)</t>
  </si>
  <si>
    <t>Regulated returns framework sets equity ROE at ~15.5%, but actual ROCE on total capital (incl. debt) is lower due to high leverage. ROCE &gt;10% through-cycle is healthy for thermal. Renewables accept 8-10% given long-duration contracted cash flows.</t>
  </si>
  <si>
    <t>2. Power Distribution</t>
  </si>
  <si>
    <t>AT&amp;C Losses</t>
  </si>
  <si>
    <t>&lt;15%</t>
  </si>
  <si>
    <t>Aggregate Technical &amp; Commercial losses measure transmission leakage + billing/collection inefficiency. India avg ~17-20%; best DISCOMs (Gujarat, Maharashtra) &lt;12%. &gt;25% signals theft, poor metering, or political interference in collections.</t>
  </si>
  <si>
    <t>Revenue Per Unit (Avg Realisation)</t>
  </si>
  <si>
    <t>≥₹6/kWh; &gt;ACS (Avg Cost of Supply)</t>
  </si>
  <si>
    <t>Average revenue realisation must exceed average cost of supply (ACS) for viability. Tariff gap (ACS minus ARR) indicates subsidy dependence. DISCOMs with positive gap are self-sustaining; negative gap = perpetual Govt dependence.</t>
  </si>
  <si>
    <t>Collection Efficiency</t>
  </si>
  <si>
    <t>Measures % of billed revenue actually collected. &gt;95% signals strong billing infrastructure and enforcement. &lt;90% means the DISCOM is subsidizing non-payment — common in agrarian states with free power schemes.</t>
  </si>
  <si>
    <t>Distribution networks require continuous capex (smart meters, underground cabling, transformer upgrades). D/E &lt;1.5x ensures capex can be funded without distress. Many state DISCOMs are technically insolvent (D/E &gt;5x).</t>
  </si>
  <si>
    <t>Smart Meter / Technology Adoption</t>
  </si>
  <si>
    <t>Smart meter rollout &gt;50% of consumer base</t>
  </si>
  <si>
    <t>Smart meters reduce AT&amp;C losses by 3-5% through real-time monitoring and tamper detection. India targets 250M smart meters under RDSS scheme. DISCOMs with &gt;50% rollout see measurable loss reduction and improved billing.</t>
  </si>
  <si>
    <t>Consumer Mix</t>
  </si>
  <si>
    <t>Commercial/Industrial &gt;40% of revenue</t>
  </si>
  <si>
    <t>C&amp;I consumers pay higher tariffs (₹7-10/kWh) vs. agricultural/domestic (₹2-4/kWh). Higher C&amp;I mix = better realisation per unit and more reliable payment. Agricultural-heavy DISCOMs face subsidy burden and seasonal demand.</t>
  </si>
  <si>
    <t>Regulatory Compliance &amp; Tariff Timeliness</t>
  </si>
  <si>
    <t>Annual tariff revision with &lt;6-month lag</t>
  </si>
  <si>
    <t>State Electricity Regulatory Commissions (SERCs) set tariffs. Timely annual revisions ensure cost recovery. Multi-year delays (common in UP, Rajasthan) create cumulative revenue gaps that destabilize DISCOM finances.</t>
  </si>
  <si>
    <t>3. Renewable Energy</t>
  </si>
  <si>
    <t>Capacity Addition Pipeline (GW)</t>
  </si>
  <si>
    <t>Pipeline ≥3x current capacity; execution ≥90% of target</t>
  </si>
  <si>
    <t>India targets 500 GW renewable capacity by 2030 (currently ~190 GW). Adani Green has ~20 GW operational + 30 GW pipeline. Tata Power RE, JSW Energy, NTPC Green are scaling aggressively. The capacity pipeline (GW under development/awarded) provides multi-year revenue visibility. Execution rate (actual commissioning vs target) separates serious developers from announcement-only companies. Land acquisition and grid connectivity are the key execution bottlenecks.</t>
  </si>
  <si>
    <t>PPA Tariff &amp; Tenor</t>
  </si>
  <si>
    <t>Weighted average PPA tariff ≥₹2.5/kWh; PPA tenor ≥20 years</t>
  </si>
  <si>
    <t>Power Purchase Agreements provide contracted revenue for 20-25 years. PPA tariff locked at auction determines project IRR for the entire lifecycle. Companies that won PPAs at ₹2.0-2.5/kWh during 2020-22 have viable projects. Tariffs below ₹2.0/kWh face margin pressure from rising module costs and financing rates. Weighted average PPA tariff across the portfolio and residual contract life determine long-term cash flow visibility.</t>
  </si>
  <si>
    <t>CUF / PLF Performance</t>
  </si>
  <si>
    <t>Solar CUF ≥22%; Wind PLF ≥30%; actual vs P90 estimate &gt;95%</t>
  </si>
  <si>
    <t>Capacity Utilization Factor (solar) and Plant Load Factor (wind) measure actual generation vs theoretical maximum. Higher CUF/PLF = more units generated per MW installed = higher revenue and faster payback. Site selection quality (solar irradiance, wind speed) determines CUF/PLF for the entire 25-year asset life. Companies consistently achieving CUF/PLF above P90 estimates demonstrate superior project development and O&amp;M capabilities.</t>
  </si>
  <si>
    <t>EBITDA Margin &amp; Project IRR</t>
  </si>
  <si>
    <t>EBITDA margin ≥80%; levered project IRR ≥12%</t>
  </si>
  <si>
    <t>Renewable projects are high-fixed-cost, near-zero-variable-cost businesses. Once commissioned, EBITDA margins are 80-90% (no fuel cost). The key economic metric is project IRR — levered equity IRR of 12-15% is the industry target. Companies achieving higher IRRs through lower EPC costs (backward integration like Adani's module manufacturing), better financing terms, or superior CUF performance create more shareholder value per GW deployed.</t>
  </si>
  <si>
    <t>Debt / Equity &amp; Financing Cost</t>
  </si>
  <si>
    <t>D/E at project level ≤3:1; weighted average cost of debt ≤8.5%</t>
  </si>
  <si>
    <t>RE projects are heavily debt-financed (70-80% debt, 20-30% equity). Interest cost is the largest expense after EPC. Companies with access to cheaper capital (green bonds, international development finance at 5-7% vs domestic at 9-11%) have structural cost advantages. Net debt/EBITDA at the consolidated level should be manageable (&lt;5x). Refinancing risk on variable-rate debt during rising interest rate environments is a key risk to monitor.</t>
  </si>
  <si>
    <t>Module/Turbine Technology &amp; Domestic Manufacturing</t>
  </si>
  <si>
    <t>Domestically manufactured modules ≥60%; latest technology adoption</t>
  </si>
  <si>
    <t>India's ALMM (Approved List of Module Manufacturers) mandates domestic solar module use for government projects. Companies with captive module manufacturing (Adani Solar, Waaree) or long-term supply agreements avoid procurement bottlenecks. Bifacial modules, TOPCon/HJT cell technology, and larger wind turbines (3-5 MW) improve project economics. Technology choices at EPC stage determine generation efficiency for 25 years.</t>
  </si>
  <si>
    <t>4. Power Transmission</t>
  </si>
  <si>
    <t>Transmission Availability</t>
  </si>
  <si>
    <t>System availability ≥99.5%; unplanned outages &lt;0.2%</t>
  </si>
  <si>
    <t>Power Grid Corp maintains &gt;99.8% availability — among the highest globally. Transmission availability directly determines revenue (companies earn availability-based tariffs, not usage-based). Each 0.1% downtime = lost revenue + penalties. Adani Transmission targets similar performance levels. Availability KPI is more important than throughput because the regulatory model pays for capacity made available, not energy actually transmitted.</t>
  </si>
  <si>
    <t>Regulated ROE &amp; Tariff Visibility</t>
  </si>
  <si>
    <t>CERC-regulated ROE ≥15.5%; tariff order validity ≥5 years</t>
  </si>
  <si>
    <t>Power transmission in India operates on a regulated return model — CERC (Central) and SERCs (State) set allowed ROE on the equity component of capital expenditure. Currently CERC allows 15.5% ROE on transmission assets. This provides near-guaranteed returns with minimal demand risk. Tariff orders are typically valid for 5-year control periods. Companies with assets under favorable tariff orders have highly predictable cash flows — essentially annuity-like businesses.</t>
  </si>
  <si>
    <t>Capex Pipeline &amp; Order Book</t>
  </si>
  <si>
    <t>Order book ≥2x annual revenue; TBCB wins growing</t>
  </si>
  <si>
    <t>India's transmission capex is ₹1.5-2 lakh Cr over the next 5 years driven by renewable energy integration, inter-state grid strengthening, and smart grid rollout. TBCB (Tariff Based Competitive Bidding) projects are growing vs traditional cost-plus projects. Companies winning TBCB bids demonstrate competitive capabilities. Order book provides multi-year revenue visibility. Power Grid Corp executes ₹30,000-40,000 Cr capex annually; private players (Adani, Sterlite) are growing share.</t>
  </si>
  <si>
    <t>EBITDA Margin &amp; Cash Flow</t>
  </si>
  <si>
    <t>EBITDA margin ≥85%; OCF/EBITDA ≥90%</t>
  </si>
  <si>
    <t>Transmission is the highest-margin utility business — no fuel cost, minimal O&amp;M, and availability-based revenue. EBITDA margins of 85-92% are standard. Cash flow conversion is strong because receivables are from state utilities/DISCOMs (government-backed). Companies with efficient cash collection from DISCOMs (receivable days &lt;60) generate consistent free cash flow for dividends and reinvestment.</t>
  </si>
  <si>
    <t>Debt Management &amp; Credit Rating</t>
  </si>
  <si>
    <t>Net Debt/Equity &lt;3x; AAA/AA+ credit rating</t>
  </si>
  <si>
    <t>Transmission companies carry significant project debt (typically 70:30 debt:equity at project level). Low-cost debt access is a key competitive advantage — Power Grid Corp borrows at sovereign-linked rates (7-7.5%). Private players pay 8-9.5%. Credit rating directly impacts borrowing cost. Companies maintaining AAA/AA+ ratings with manageable leverage have structural cost advantages over the 25-35 year asset life.</t>
  </si>
  <si>
    <t>Renewable Integration Capability</t>
  </si>
  <si>
    <t>Green energy corridor projects in execution; HVDC/smart grid technology deployed</t>
  </si>
  <si>
    <t>India's 500 GW renewable target requires massive transmission infrastructure — Green Energy Corridors, inter-state RE zones, and HVDC links to carry power from generation hubs (Rajasthan/Gujarat solar, Tamil Nadu wind) to demand centers (Delhi/Mumbai). Companies with expertise in HVDC, FACTS devices, and battery-integrated substations capture the highest-growth transmission segment. This is the primary capex growth driver for the next decade.</t>
  </si>
  <si>
    <t>5. Energy Storage &amp; Batteries</t>
  </si>
  <si>
    <t>Manufacturing Capacity (GWh) &amp; Expansion Pipeline</t>
  </si>
  <si>
    <t>Commissioned GWh capacity growing; expansion pipeline ≥3x current</t>
  </si>
  <si>
    <t>India targets 50 GWh+ of domestic battery cell manufacturing by 2030 (ACC PLI scheme). Exide Energy Solutions, Amara Raja Advanced Cell Technologies, Ola Electric (cell), and Reliance (announced) are building giga-factories. Current domestic cell manufacturing is minimal — most batteries use imported cells assembled in India. Companies with committed GWh expansion plans backed by PLI approvals and land acquisition progress have first-mover advantages in a market expected to be ₹1 lakh Cr+ by 2030.</t>
  </si>
  <si>
    <t>Technology Choice &amp; Cell Chemistry</t>
  </si>
  <si>
    <t>Multi-chemistry capability (LFP + NMC); energy density improving</t>
  </si>
  <si>
    <t>Battery technology is evolving rapidly — LFP (lithium iron phosphate) for stationary storage and commercial EVs, NMC (nickel manganese cobalt) for passenger EVs, solid-state as next-gen. Companies betting on a single chemistry face obsolescence risk. Energy density (Wh/kg), cycle life, and cost per kWh are the key performance metrics. Cell manufacturers achieving &lt;$100/kWh at cell level are cost-competitive with imported cells. Technology partnerships (with CATL, BYD, Samsung SDI, LG) accelerate learning curves.</t>
  </si>
  <si>
    <t>PLI Incentive Utilization &amp; Subsidy</t>
  </si>
  <si>
    <t>PLI subsidy claim ≥80% of eligible amount; compliance on track</t>
  </si>
  <si>
    <t>India's ACC PLI scheme offers ₹18,100 Cr incentives for domestic cell manufacturing. PLI benefits of ₹2,000-4,600 per kWh manufactured domestically can make Indian cells cost-competitive with Chinese imports. Companies on track with PLI milestones (commissioning timelines, domestic value addition thresholds, capacity utilization minimums) receive these incentives for 5 years. Missing PLI milestones means losing the subsidy — a make-or-break for project economics.</t>
  </si>
  <si>
    <t>Revenue Growth &amp; Order Pipeline</t>
  </si>
  <si>
    <t>Revenue CAGR ≥40%; firm orders covering ≥2 years of capacity</t>
  </si>
  <si>
    <t>Energy storage demand is growing exponentially — grid-scale storage (SECI tenders for battery + RE), telecom tower batteries, EV batteries, and residential/commercial storage. Companies with firm order pipelines from grid operators (SECI, state utilities), EV OEMs, and telecom tower companies have de-risked revenue streams. The India energy storage market is at an inflection point — early movers with customer contracts have significant advantages.</t>
  </si>
  <si>
    <t>Debt &amp; Capex Funding</t>
  </si>
  <si>
    <t>Project-level D/E ≤2:1; equity funding secured for Phase 1</t>
  </si>
  <si>
    <t>Battery manufacturing giga-factories require ₹5,000-15,000 Cr investment per GWh facility. Companies must secure equity funding (promoter contribution, PE/VC, IPO), project debt, and working capital facilities. The capex intensity creates significant execution risk. Companies with committed funding for at least Phase 1 of their expansion plan have higher execution credibility. Balance sheet strength and promoter commitment (skin in the game) are critical evaluation factors.</t>
  </si>
  <si>
    <t>Raw Material Supply Chain</t>
  </si>
  <si>
    <t>Lithium/nickel/cobalt sourcing agreements in place; recycling capability under development</t>
  </si>
  <si>
    <t>Battery manufacturing requires lithium, nickel, cobalt, graphite, and manganese — India imports nearly 100% of these critical minerals. Companies with long-term supply agreements (KABIL, government-to-government deals with Australia, Argentina, Chile) or partnerships with mining companies have supply security. Battery recycling (recovering lithium, cobalt from spent batteries) is emerging as a secondary supply source. Companies investing in recycling capabilities create a circular economy advantage.</t>
  </si>
  <si>
    <t>Diversified (4 industries)</t>
  </si>
  <si>
    <t>Diversified Conglomerates</t>
  </si>
  <si>
    <t>Consolidated ROCE</t>
  </si>
  <si>
    <t>≥12%; every segment &gt; WACC</t>
  </si>
  <si>
    <t>The defining test for a conglomerate: does every business segment earn returns above its cost of capital? Consolidated ROCE &gt;12% means the diversified structure is creating value, not destroying it. If any segment consistently earns below WACC, it should be divested — the conglomerate discount exists precisely because markets doubt management's capital allocation across unrelated businesses.</t>
  </si>
  <si>
    <t>Conglomerate Holding Companies</t>
  </si>
  <si>
    <t>Sum-of-the-Parts (SOTP) vs Market Cap</t>
  </si>
  <si>
    <t>SOTP premium or &lt;20% discount</t>
  </si>
  <si>
    <t>SOTP valuation sums each business segment at its standalone peer multiple. A persistent holdco discount &gt;20% means the market believes the conglomerate structure destroys value through cross-subsidies, poor capital allocation, or complexity. Narrowing discount signals improving governance and capital discipline.</t>
  </si>
  <si>
    <t>Diversified Manufacturing (MNCs)</t>
  </si>
  <si>
    <t>Revenue Diversification Balance</t>
  </si>
  <si>
    <t>No single segment &gt;50% of revenue; ≥3 segments each &gt;15%</t>
  </si>
  <si>
    <t>True diversification means balanced contribution from multiple segments. If one segment dominates (&gt;50%), the company is functionally a single-sector business with distracting side ventures. At least 3 segments each contributing &gt;15% provides genuine business cycle hedging and revenue stability.</t>
  </si>
  <si>
    <t>Multi-Sector Operating Companies</t>
  </si>
  <si>
    <t>Consolidated Revenue Growth</t>
  </si>
  <si>
    <t>≥12% YoY; growth across majority of segments</t>
  </si>
  <si>
    <t>Diversified companies must grow consolidated revenue at &gt;12% to justify the complexity premium. Growth should be broad-based across segments — if only one segment is driving growth while others stagnate, the conglomerate structure isn't adding value. Segment-wise growth disclosure is critical for investor assessment.</t>
  </si>
  <si>
    <t>ROIC &gt; WACC for all major investments over 5 years</t>
  </si>
  <si>
    <t>The single biggest risk in diversified companies is empire-building — management deploying capital into low-return segments or acquisitions to grow for growth's sake. A 5-year track record of capital allocation decisions (acquisitions, capex, new ventures) earning above WACC separates value creators from value destroyers.</t>
  </si>
  <si>
    <t>Consolidated Operating Margin</t>
  </si>
  <si>
    <t>≥15%; expanding trend</t>
  </si>
  <si>
    <t>Consolidated margins reflect the blended profitability across diverse businesses. &gt;15% EBIT margin indicates that high-margin segments (FMCG, IT, financial services) compensate for lower-margin ones (manufacturing, trading). Expanding margins signal operating leverage and cost synergies across the group.</t>
  </si>
  <si>
    <t>Corporate Governance &amp; Transparency</t>
  </si>
  <si>
    <t>Segment-wise reporting; independent board &gt;50%; no related-party red flags</t>
  </si>
  <si>
    <t>Diversified companies carry inherent agency risk — management may cross-subsidize weak segments using cash from strong ones, or engage in related-party transactions between subsidiaries. Strong governance (independent board, transparent segment reporting, clean auditor opinions) and clear capital allocation framework are prerequisites for investor trust.</t>
  </si>
  <si>
    <t>1. Diversified Conglomerates</t>
  </si>
  <si>
    <t>≥15%; every segment &gt; WACC</t>
  </si>
  <si>
    <t>Diversified conglomerates (ITC, Godrej Industries, Century Textiles, Grasim Industries) operate across unrelated sectors. Consolidated ROCE &gt;15% validates the conglomerate structure. Each segment must independently earn above its cost of capital — cross-subsidization from a cash cow (e.g., ITC's cigarettes funding hotels/FMCG) is acceptable short-term but must show improving segment ROCE over 3-5 years.</t>
  </si>
  <si>
    <t>SOTP vs Market Cap (Holdco Discount)</t>
  </si>
  <si>
    <t>&lt;20% discount to SOTP; narrowing trend</t>
  </si>
  <si>
    <t>Sum-of-the-parts valuation assigns each business segment its standalone peer multiple and sums them. Indian conglomerates typically trade at 15-40% holdco discount. &lt;20% discount signals market trust in management. Persistent &gt;30% discount means the market believes the conglomerate is worth more broken up — simplification or demerger may unlock value.</t>
  </si>
  <si>
    <t>Segment Revenue Diversification</t>
  </si>
  <si>
    <t>No single segment &gt;50%; ≥3 segments each &gt;15%</t>
  </si>
  <si>
    <t>True conglomerate value comes from diversification across business cycles. ITC: Cigarettes ~40%, FMCG ~20%, Hotels ~5%, Agri ~15%, Paper ~12%, IT ~8% — well-diversified. If one segment dominates &gt;50% (e.g., cigarettes at ITC), the company is functionally a single-business with side ventures, and should be valued accordingly.</t>
  </si>
  <si>
    <t>Capital Allocation Framework</t>
  </si>
  <si>
    <t>Documented framework; ROIC &gt; WACC on 5-year investments</t>
  </si>
  <si>
    <t>Conglomerates face the "empire-building" risk — management deploying cash cow profits into pet projects or low-return expansions. A documented capital allocation framework (hurdle rates, payback period requirements, independent board oversight of large capex) signals discipline. Track record matters: have past investments actually earned above WACC?</t>
  </si>
  <si>
    <t>Segment-wise Margin Trajectory</t>
  </si>
  <si>
    <t>Each segment margin improving or stable vs. peers</t>
  </si>
  <si>
    <t>Each business segment should be benchmarked against standalone peers. If ITC's FMCG margin is 8% vs. Hindustan Unilever at 23%, the segment is underperforming despite benefiting from the conglomerate's distribution network. Improving segment margins indicate operational focus; declining margins suggest management attention is spread too thin.</t>
  </si>
  <si>
    <t>Corporate Governance &amp; Related-Party Transactions</t>
  </si>
  <si>
    <t>Independent directors &gt;50%; RPTs at arm's length; clean audit</t>
  </si>
  <si>
    <t>Conglomerates carry higher governance risk — inter-company transactions, promoter group entities, and complex holding structures create opacity. Related-party transactions must be at arm's length and fully disclosed. Independent board representation &gt;50% and clean auditor opinions are baseline requirements. Red flags: unexplained related-party loans, land deals between group entities at non-market rates.</t>
  </si>
  <si>
    <t>Free Cash Flow Generation</t>
  </si>
  <si>
    <t>Consolidated FCF yield ≥3%; FCF positive in ≥4 of last 5 years</t>
  </si>
  <si>
    <t>Conglomerates with multiple capex-heavy businesses can show positive EBITDA but negative FCF due to perpetual reinvestment. Consolidated FCF yield &gt;3% confirms the group generates real cash after all capex. Positive FCF in 4 of 5 years indicates the business mix is mature enough to fund growth internally without continuous equity dilution or debt accumulation.</t>
  </si>
  <si>
    <t>Dividend / Capital Return Policy</t>
  </si>
  <si>
    <t>Payout ratio ≥30%; consistent dividend track record</t>
  </si>
  <si>
    <t>Consistent dividend payments signal capital discipline — management is returning excess cash rather than hoarding it for acquisitions. Conglomerates with &gt;30% payout ratio demonstrate they prioritize shareholder returns. Very low payout (&lt;15%) in a mature conglomerate suggests cash is being retained for empire-building or parked in low-return treasury investments.</t>
  </si>
  <si>
    <t>2. Conglomerate Holding Companies</t>
  </si>
  <si>
    <t>Holding companies (Tata Investment Corp, Bajaj Holdings, Maharashtra Scooters, Kalyani Investment) are valued on their portfolio NAV. NAV growth must at minimum match Nifty 50 CAGR to justify existence — otherwise investors are better off buying an index fund. NAV growth below Nifty signals poor portfolio construction or management.</t>
  </si>
  <si>
    <t>Holdco Discount to NAV</t>
  </si>
  <si>
    <t>&lt;30% discount; narrowing trend</t>
  </si>
  <si>
    <t>Indian holding companies typically trade at 30-60% discount to NAV. The discount reflects: (a) tax leakage on liquidation, (b) governance concerns, (c) inability to realize NAV. Discount &lt;30% signals market trust. &gt;50% means the structure is destroying value vs. direct ownership. Catalyst for narrowing: buybacks, demergers, or active portfolio management.</t>
  </si>
  <si>
    <t>Dividend Income &amp; Yield</t>
  </si>
  <si>
    <t>Dividend yield ≥2%; growing dividend income</t>
  </si>
  <si>
    <t>Holding companies earn dividends from portfolio subsidiaries/investments. Dividend yield &gt;2% provides tangible shareholder return while waiting for NAV discount to narrow. Growing dividend income (from subsidiaries increasing their payouts) is the primary cash flow driver. Companies with &lt;1% yield and no buyback program offer shareholders no current return.</t>
  </si>
  <si>
    <t>Portfolio Quality &amp; Concentration</t>
  </si>
  <si>
    <t>Portfolio concentrated in blue-chip, liquid stocks provides transparent and realizable NAV. Unlisted or illiquid holdings are hard to value and realize, widening the holdco discount. Excessive concentration in one stock (&gt;60% of NAV in a single holding) creates single-stock risk disguised as a holding company.</t>
  </si>
  <si>
    <t>Active Portfolio Management</t>
  </si>
  <si>
    <t>Evidence of rebalancing; exits from underperformers</t>
  </si>
  <si>
    <t>Passive holding companies that never monetize or reallocate underperform. Active management — booking profits on overvalued holdings, reallocating to higher-return opportunities, and exiting non-core investments — narrows the holdco discount over time. Track record of portfolio decisions over 5 years is the key indicator.</t>
  </si>
  <si>
    <t>Administrative Cost Ratio</t>
  </si>
  <si>
    <t>Admin costs &lt;2% of NAV</t>
  </si>
  <si>
    <t>Holding companies should be lean — their primary function is managing a portfolio, not operating businesses. Administrative expenses (salaries, office costs, board fees) exceeding 2% of NAV erode returns and widen the holdco discount. Well-run holding companies operate with minimal overhead.</t>
  </si>
  <si>
    <t>3. Diversified Manufacturing (MNCs)</t>
  </si>
  <si>
    <t>Revenue Growth (India Operations)</t>
  </si>
  <si>
    <t>≥12% YoY in INR; outpacing parent's global growth</t>
  </si>
  <si>
    <t>Diversified MNC subsidiaries in India (3M India, Honeywell Automation, Siemens India, ABB India) derive revenue across multiple product lines. India revenue growing faster than the parent's global growth rate indicates the Indian entity is gaining strategic importance within the group — this often leads to greater product transfers, R&amp;D investment, and manufacturing localization.</t>
  </si>
  <si>
    <t>≥18%; in line with or above parent global margins</t>
  </si>
  <si>
    <t>MNC subsidiaries should achieve margins comparable to the parent. If India margins are significantly below global (e.g., Siemens India at 14% vs. Siemens AG at 16%), it signals transfer pricing leakage, unfavorable product mix, or underpenetration of high-margin segments. Margins above the parent suggest India's cost advantages and growing share of value-added manufacturing.</t>
  </si>
  <si>
    <t>≥20%; asset-light operations preferred</t>
  </si>
  <si>
    <t>MNC subsidiaries in India often operate asset-light (importing components, assembling locally) with high ROCE. As localization increases ("Make in India"), capital intensity rises but so should volume. ROCE &gt;20% confirms the India entity generates strong returns. Below 15% means the subsidiary is a distribution arm, not a value creator.</t>
  </si>
  <si>
    <t>Product Localization &amp; India Manufacturing</t>
  </si>
  <si>
    <t>Local manufacturing &gt;50% of India revenue; increasing trend</t>
  </si>
  <si>
    <t>Localization indicates long-term parent commitment to India. Companies manufacturing locally (ABB India's Bengaluru plant, Siemens' multiple factories) earn higher margins (no import duty, lower logistics cost) and are better positioned for government contracts requiring "Make in India" compliance. Purely import-dependent subsidiaries face currency risk and policy headwinds.</t>
  </si>
  <si>
    <t>Related-Party Transactions (Parent)</t>
  </si>
  <si>
    <t>RPTs &lt;20% of revenue; arm's length pricing; stable trend</t>
  </si>
  <si>
    <t>The #1 risk in MNC subsidiaries: transfer pricing and royalty extraction by the parent. High royalty payments (&gt;3% of revenue), management fees, and inter-company purchases at above-market prices extract value from minority shareholders. RPTs &lt;20% of revenue with arm's length pricing is acceptable. Increasing RPT trend is a red flag for minority shareholder value extraction.</t>
  </si>
  <si>
    <t>Export Hub Potential</t>
  </si>
  <si>
    <t>Exports &gt;15% of India revenue; designated regional hub</t>
  </si>
  <si>
    <t>MNC parents increasingly designate India as an export hub for Asia/Middle East/Africa (Honeywell exports aerospace components, ABB exports drives). Export mandates bring volume, capacity utilization, and strategic importance within the global parent. They also earn in foreign currency, providing natural hedging against INR depreciation.</t>
  </si>
  <si>
    <t>Dividend Payout &amp; Cash Repatriation</t>
  </si>
  <si>
    <t>Payout ≥50%; FCF not hoarded; no unexplained cash buildup</t>
  </si>
  <si>
    <t>MNC subsidiaries with excess cash should return it to shareholders via dividends or buybacks. If the company has low capex needs and hoards cash (&gt;2 years of operating expenses), it may be accumulating for a delisting bid at depressed prices (several MNCs delisted Indian subsidiaries after building cash). Payout &gt;50% aligns minority shareholder interests with the parent.</t>
  </si>
  <si>
    <t>4. Multi-Sector Operating Companies</t>
  </si>
  <si>
    <t>Segment-wise ROCE</t>
  </si>
  <si>
    <t>Every operating segment ROCE &gt; WACC; consolidated ≥14%</t>
  </si>
  <si>
    <t>Multi-sector operators (L&amp;T with engineering+IT+financial services, Aditya Birla group entities, Vedanta with metals+oil+power) must demonstrate that each operating segment independently earns above its cost of capital. Consolidated ROCE &gt;14% confirms the diversified structure adds value. Segments consistently below WACC should be divested or restructured.</t>
  </si>
  <si>
    <t>Revenue Mix &amp; Cross-Cycle Resilience</t>
  </si>
  <si>
    <t>Revenue decline &lt;10% in worst year; counter-cyclical segment mix</t>
  </si>
  <si>
    <t>The primary justification for multi-sector operations is business cycle hedging. A company with cyclical manufacturing + defensive FMCG/services should show revenue resilience through downturns. If revenue fell &gt;15% in any single year (like COVID or GFC), the diversification failed its purpose. Counter-cyclical segment combinations (infra+IT, commodities+services) provide genuine hedging.</t>
  </si>
  <si>
    <t>≥15%; improving or stable vs. 5-year average</t>
  </si>
  <si>
    <t>Blended operating margin reflects the quality of the business portfolio. Margin expansion indicates improving business mix (growing share of high-margin segments), operational synergies, or successful restructuring of weak segments. Declining margin despite revenue growth suggests the company is growing low-quality revenue or cross-subsidizing underperformers.</t>
  </si>
  <si>
    <t>Order Book / Forward Revenue Visibility</t>
  </si>
  <si>
    <t>Order book / revenue &gt;2x for project businesses; recurring revenue &gt;40%</t>
  </si>
  <si>
    <t>Multi-sector companies often combine project-based businesses (construction, engineering) with recurring ones (IT services, financial services). The project businesses need strong order books (&gt;2x annual revenue) for visibility, while recurring businesses provide baseline stability. L&amp;T's ₹4.5L Cr order book provides 3+ years of engineering revenue visibility alongside LTIMindtree's recurring IT revenue.</t>
  </si>
  <si>
    <t>Debt Management &amp; Balance Sheet Strength</t>
  </si>
  <si>
    <t>Net Debt/EBITDA &lt;2.5x; interest coverage &gt;4x</t>
  </si>
  <si>
    <t>Multi-sector companies face the risk of over-leveraging — debt raised against a strong segment's cash flows may fund weak segments. Net Debt/EBITDA &lt;2.5x and interest coverage &gt;4x ensure the balance sheet can withstand downturns in any single segment. Segment-wise debt allocation transparency is critical — hiding loss-making segment debt within consolidated numbers is a common red flag.</t>
  </si>
  <si>
    <t>Demerger / Simplification Optionality</t>
  </si>
  <si>
    <t>Identifiable demerger candidates; management open to simplification</t>
  </si>
  <si>
    <t>Multi-sector companies often trade at a conglomerate discount that can be unlocked through demergers. L&amp;T's demerger of L&amp;T Technology Services and LTIMindtree created significant value. Companies with clearly identifiable demerger candidates (distinct business segments with independent management) and management willing to simplify offer structural re-rating catalysts.</t>
  </si>
  <si>
    <t>Management Quality &amp; Succession</t>
  </si>
  <si>
    <t>Professional management; clear succession; independent board &gt;50%</t>
  </si>
  <si>
    <t>Multi-sector companies are disproportionately dependent on top management quality — the CEO must understand and allocate capital across unrelated businesses. Professional management (vs. promoter-driven) with deep bench strength and clear succession planning is critical. L&amp;T's professional management model is the gold standard; promoter-driven conglomerates face key-man risk and succession uncertainty.</t>
  </si>
  <si>
    <t>Utilities (7 industries)</t>
  </si>
  <si>
    <t>Water Supply</t>
  </si>
  <si>
    <t>Regulated ROE</t>
  </si>
  <si>
    <t>≥14% regulated; ≥18% actual</t>
  </si>
  <si>
    <t>Utilities earn regulated returns set by PNGRB/CERC/state regulators (~14-15.5% on equity). Actual ROE &gt;18% means the company earns above regulated minimums through efficiency or volume gains.</t>
  </si>
  <si>
    <t>Gas Distribution</t>
  </si>
  <si>
    <t>Cash Flow Visibility</t>
  </si>
  <si>
    <t>≥80% revenue from long-term contracts</t>
  </si>
  <si>
    <t>Long-term contracts (15-25 year gas supply, PPAs, water concessions) provide predictable revenue. &gt;80% contracted = defensive, bond-like cash flows suitable for income investors.</t>
  </si>
  <si>
    <t>City Gas</t>
  </si>
  <si>
    <t>Network-heavy businesses (pipelines, wires, water infrastructure) carry structural debt. Debt/Equity &lt;1.5x is prudent for regulated utilities; &gt;2x risks rating downgrades and higher interest costs.</t>
  </si>
  <si>
    <t>Waste Management</t>
  </si>
  <si>
    <t>Tariff Structure</t>
  </si>
  <si>
    <t>Cost pass-through ≥90%</t>
  </si>
  <si>
    <t>Ability to pass through input cost changes (gas price, coal cost, water treatment chemicals) to end consumers via regulated tariffs. &gt;90% pass-through protects margins from cost volatility.</t>
  </si>
  <si>
    <t>Renewable Utilities</t>
  </si>
  <si>
    <t>Capex Recovery</t>
  </si>
  <si>
    <t>Regulated capex recovery &lt;3 yr lag</t>
  </si>
  <si>
    <t>Regulated utilities invest first and recover later via tariffs. Recovery lag &lt;3 years is acceptable; &gt;5 years strains cash flow and forces additional borrowing to fund ongoing capex.</t>
  </si>
  <si>
    <t>Power Utilities</t>
  </si>
  <si>
    <t>Low — transparent, predictable regime</t>
  </si>
  <si>
    <t>Regulatory risk is the #1 external threat for utilities. Transparent, predictable regimes (PNGRB for gas, CERC for power) reduce uncertainty. State-level regulation adds complexity and risk.</t>
  </si>
  <si>
    <t>Multi-Utilities</t>
  </si>
  <si>
    <t>Environmental Services &amp; Carbon</t>
  </si>
  <si>
    <t>1. Water Supply</t>
  </si>
  <si>
    <t>Jal Jeevan Mission (₹3.6L Cr), AMRUT 2.0, and Smart Cities drive massive order flows. VA Tech Wabag, Ion Exchange, and L&amp;T Water are key beneficiaries. 25%+ inflow growth captures this once-in-a-generation public spend.</t>
  </si>
  <si>
    <t>≥30% of revenue from O&amp;M</t>
  </si>
  <si>
    <t>Operations &amp; Maintenance contracts (10-25 year post-construction) provide recurring revenue. &gt;30% O&amp;M mix stabilizes earnings beyond project-based lumpy revenue. VA Tech Wabag targets 40%+ O&amp;M share.</t>
  </si>
  <si>
    <t>≥12% (EPC); ≥20% (O&amp;M)</t>
  </si>
  <si>
    <t>Water EPC earns 10-14% EBITDA; O&amp;M contracts earn 18-25% (lower capex, recurring nature). Companies with higher O&amp;M mix see margin expansion over time. Technology-based solutions (membrane, ZLD) earn premium margins.</t>
  </si>
  <si>
    <t>Municipal water projects have notoriously slow Govt payment cycles (120-240 days). NWC &lt;30% is efficient. &gt;40% means the company is financing Govt infrastructure from its own balance sheet, killing ROCE.</t>
  </si>
  <si>
    <t>Technology / Treatment Capability</t>
  </si>
  <si>
    <t>Proprietary treatment tech; ZLD capability</t>
  </si>
  <si>
    <t>Companies with proprietary water/wastewater treatment technology (membrane bioreactors, zero liquid discharge) command higher margins and win technology-qualified tenders that commodity EPC firms cannot bid on.</t>
  </si>
  <si>
    <t>Water infrastructure is capital-moderate but working capital intensity drags ROCE. &gt;14% is healthy. Companies with advance-based contracts and efficient collections outperform. Ion Exchange ~18%, VA Tech Wabag ~12-14%.</t>
  </si>
  <si>
    <t>2. Gas Distribution</t>
  </si>
  <si>
    <t>Gas transmission/distribution is a volume game. India's gas share in energy mix is ~6% (target 15% by 2030). GAIL transmits ~120 MMSCMD. Volume growth = revenue growth in a tariff-regulated business.</t>
  </si>
  <si>
    <t>Pipeline Network &amp; Utilization</t>
  </si>
  <si>
    <t>Utilization ≥75%; network expansion active</t>
  </si>
  <si>
    <t>Pipeline infrastructure is the moat. India has ~22,000 km gas pipeline (expansion to ~35,000 km planned). Utilization &gt;75% ensures fixed cost absorption. Idle pipeline capacity is sunk cost dragging returns.</t>
  </si>
  <si>
    <t>≥60% (transmission); ≥10% (marketing)</t>
  </si>
  <si>
    <t>Gas transmission earns regulated tariffs (high margin, ~60% EBITDA). Gas marketing/trading is low-margin (8-12%) but high-volume. GAIL's blended EBITDA ~15-20% due to marketing dominance.</t>
  </si>
  <si>
    <t>≥70% volume under long-term contracts</t>
  </si>
  <si>
    <t>Long-term gas supply contracts (LNG imports, domestic allocation) provide volume certainty vs. volatile spot market. &gt;70% contracted = predictable revenue. Petronet LNG ~80% under long-term Ras Gas/Qatar contracts.</t>
  </si>
  <si>
    <t>Tariff Regulation</t>
  </si>
  <si>
    <t>PNGRB sets pipeline transmission tariffs ensuring 12-14% post-tax ROE. Favorable regulation = predictable earnings. Unfavorable tariff orders (unified tariff debate) could compress pipeline returns for long-haul operators.</t>
  </si>
  <si>
    <t>Gas infrastructure is capital-heavy (pipelines ₹5-7 Cr/km). ROCE &gt;12% is healthy given the regulated nature. GAIL ~14%, Petronet LNG ~22% (terminal asset light relative to pipelines). Below 10% = tariff doesn't cover capital cost.</t>
  </si>
  <si>
    <t>3. City Gas Distribution (CGD)</t>
  </si>
  <si>
    <t>Volume Growth (CNG + PNG)</t>
  </si>
  <si>
    <t>CGD volumes driven by CNG vehicle conversions and PNG household connections. India targets 10,000 CNG stations (from ~5,500) and 5Cr PNG connections. IGL, MGL, Gujarat Gas lead. 15%+ growth captures GA (Geographical Area) expansion.</t>
  </si>
  <si>
    <t>Geographical Area (GA) Authorization</t>
  </si>
  <si>
    <t>≥10 GAs; expanding via PNGRB rounds</t>
  </si>
  <si>
    <t>PNGRB auctions exclusive CGD licenses for 25-year periods in designated GAs. More GAs = larger addressable market. 11th CGD round authorized 295 GAs. Companies winning GAs in high-density urban areas have superior unit economics.</t>
  </si>
  <si>
    <t>EBITDA per SCM</t>
  </si>
  <si>
    <t>≥₹6-8/SCM</t>
  </si>
  <si>
    <t>Unit EBITDA per Standard Cubic Meter measures profitability normalized for scale. IGL ~₹7-8/SCM, MGL ~₹8-9/SCM. &lt;₹5/SCM signals high gas sourcing cost or inability to pass through price increases to consumers.</t>
  </si>
  <si>
    <t>CNG vs PNG Mix</t>
  </si>
  <si>
    <t>PNG (industrial + domestic) &gt;40% of volume</t>
  </si>
  <si>
    <t>CNG volumes are seasonal and competition-sensitive (EV threat long-term). PNG piped connections (industrial + domestic) are stickier — once connected, switching cost is high. Higher PNG mix = more predictable baseload volume.</t>
  </si>
  <si>
    <t>APM Gas Allocation</t>
  </si>
  <si>
    <t>≥70% volume sourced from APM/domestic gas</t>
  </si>
  <si>
    <t>APM (Administered Price Mechanism) domestic gas is priced at ~$6.5/MMBTU vs. imported LNG at $12-15/MMBTU. Higher APM allocation = lower input cost = wider per-SCM margin. Govt prioritizes CGD for APM allocation.</t>
  </si>
  <si>
    <t>CGD requires significant network capex (pipeline laying, CNG stations, PNG connections). ROCE &gt;18% is strong for established GAs. Newer GAs run at lower ROCE initially (investment phase) but improve as connections ramp up. IGL ~22%, MGL ~25%.</t>
  </si>
  <si>
    <t>4. Waste Management</t>
  </si>
  <si>
    <t>India's waste management market growing 18-20% driven by Swachh Bharat 2.0, solid waste management rules (2016/2022), and rising municipal spending. &lt;10% of India's waste is scientifically processed — massive headroom.</t>
  </si>
  <si>
    <t>Concession / Contract Duration</t>
  </si>
  <si>
    <t>≥15-year avg concession; &gt;80% contracted</t>
  </si>
  <si>
    <t>Municipal waste management concessions (collection, processing, landfill) are 15-30 year contracts with tipping fee escalation clauses. Long concessions = utility-like cash flow visibility. Renewal rates are high once infrastructure is built.</t>
  </si>
  <si>
    <t>Waste-to-energy (WTE) and integrated waste management earn 20-30% EBITDA margins via tipping fees + power/RDF sales. Collection-only contracts earn 12-15%. Technology-intensive solutions (bio-methanation, plastic recycling) command premium margins.</t>
  </si>
  <si>
    <t>Tipping Fee Escalation</t>
  </si>
  <si>
    <t>Annual escalation clause linked to WPI/CPI</t>
  </si>
  <si>
    <t>Tipping fees (₹500-1,500/ton paid by municipalities) are the primary revenue source. Contracts with annual WPI/CPI-linked escalation protect margins from cost inflation. Fixed-fee contracts without escalation erode value over 15-20 years.</t>
  </si>
  <si>
    <t>Processing Capacity Utilization</t>
  </si>
  <si>
    <t>Waste processing plants (composting, WTE, MRF) have high fixed costs. &gt;75% utilization = healthy cost absorption. Under-utilization means the municipality isn't delivering guaranteed waste quantities or segregation quality is poor.</t>
  </si>
  <si>
    <t>Waste management infrastructure is capital-intensive (processing plants, collection fleet, landfill engineering). ROCE &gt;12% is healthy for long-concession infrastructure. Viability gap funding (VGF) from Govt improves project returns.</t>
  </si>
  <si>
    <t>5. Renewable Utilities</t>
  </si>
  <si>
    <t>Installed Capacity Growth</t>
  </si>
  <si>
    <t>≥30% YoY capacity addition</t>
  </si>
  <si>
    <t>India targets 500 GW non-fossil capacity by 2030 (~190 GW currently). Adani Green (~20 GW operational), NTPC Green, Tata Power lead. 30%+ capacity growth captures the structural renewable build-out phase.</t>
  </si>
  <si>
    <t>PPA Tariff &amp; Duration</t>
  </si>
  <si>
    <t>25-year PPA; tariff ₹2.5-3.5/kWh</t>
  </si>
  <si>
    <t>Long-term PPAs (25 years) with SECI/DISCOMs at ₹2.5-3.5/kWh provide predictable revenue. Tariffs have declined 85% in a decade. Companies that locked in higher tariffs (pre-2020) earn better returns on older projects.</t>
  </si>
  <si>
    <t>CUF (Capacity Utilization Factor)</t>
  </si>
  <si>
    <t>≥22% (solar); ≥30% (wind); ≥40% (hybrid)</t>
  </si>
  <si>
    <t>CUF measures actual generation vs. rated capacity. Higher CUF = more units generated per MW installed = better project IRR. Site selection, equipment quality, and O&amp;M discipline drive CUF. Hybrid (solar+wind+storage) targets 40%+ CUF.</t>
  </si>
  <si>
    <t>&lt;2.5x (project level); &lt;1.5x (corporate)</t>
  </si>
  <si>
    <t>Renewable projects are highly leveraged (75:25 D/E at project level) due to predictable 25-year cash flows. Corporate-level D/E &lt;1.5x ensures the holding company isn't over-stretched. Adani Green ~3x net debt/EBITDA — on the higher side.</t>
  </si>
  <si>
    <t>Renewables have near-zero fuel cost — EBITDA margins of 75-90% are standard. Operating costs are limited to O&amp;M, insurance, and land lease. Margin compression signals poor O&amp;M (panel degradation, inverter failures) or curtailment by DISCOMs.</t>
  </si>
  <si>
    <t>DSCR (Debt Service Coverage Ratio)</t>
  </si>
  <si>
    <t>≥1.3x</t>
  </si>
  <si>
    <t>DSCR measures ability to service project debt from operating cash flows. ≥1.3x is the lender covenant minimum. Below 1.2x triggers lender concerns and restricts dividend upstreaming from project SPVs to the parent.</t>
  </si>
  <si>
    <t>Counterparty Risk</t>
  </si>
  <si>
    <t>SECI/NTPC &gt;50% of PPA counterparty</t>
  </si>
  <si>
    <t>DISCOM payment delays (60-180 days) are chronic in India. SECI and NTPC-backed PPAs have better payment track records than state DISCOMs. &gt;50% central Govt counterparty = lower receivable risk and faster cash conversion.</t>
  </si>
  <si>
    <t>6. Power Utilities (Integrated)</t>
  </si>
  <si>
    <t>Regulated Equity ROE</t>
  </si>
  <si>
    <t>≥14% regulated; actual ROE ≥16%</t>
  </si>
  <si>
    <t>CERC/SERCs set equity ROE at ~15.5% for cost-plus regulated utilities. Actual ROE &gt;16% means the company earns above regulated floor through operational efficiency, incentive tariffs, or merchant power sales. NTPC ~12-14%, Power Grid ~18%.</t>
  </si>
  <si>
    <t>Capitalization Rate</t>
  </si>
  <si>
    <t>Capex capitalization ≥90%; minimal disallowances</t>
  </si>
  <si>
    <t>Regulated utilities earn returns on 'regulated equity base' which grows with capitalized capex. &gt;90% capitalization (minimal regulatory disallowances) ensures the equity base grows with investment. CERC disallowances directly reduce return potential.</t>
  </si>
  <si>
    <t>Transmission / Generation Availability</t>
  </si>
  <si>
    <t>≥98% (transmission); ≥85% (generation)</t>
  </si>
  <si>
    <t>Availability-based tariff (ABT) system rewards high availability. Transmission utilities (Power Grid) target &gt;99% availability. Generation utilities earn incentive payments above normative availability. Below normative = revenue loss.</t>
  </si>
  <si>
    <t>&lt;1.5x; CERC normative 70:30</t>
  </si>
  <si>
    <t>CERC allows 70:30 D/E for tariff computation. Actual D/E near 70:30 optimizes returns on equity (leverage benefit within regulated framework). D/E significantly above norm means the company is over-borrowing beyond what tariffs compensate.</t>
  </si>
  <si>
    <t>Capex Pipeline Visibility</t>
  </si>
  <si>
    <t>≥20% capex growth over 3 years</t>
  </si>
  <si>
    <t>For regulated utilities, equity base growth = earnings growth. Power Grid's ₹1.5L Cr+ capex pipeline (inter-state transmission, renewable integration) directly drives future regulated equity returns. NTPC Green's massive RE expansion does the same.</t>
  </si>
  <si>
    <t>≥3% dividend yield; payout ≥40%</t>
  </si>
  <si>
    <t>Regulated utilities generate predictable cash flows ideal for dividend income. Power Grid yields ~4%, NTPC ~3.5%. Payout &gt;40% with growing regulated equity base provides dividend growth + capital appreciation. Utility investors value income stability.</t>
  </si>
  <si>
    <t>7. Multi-Utilities</t>
  </si>
  <si>
    <t>No single utility segment &gt;50% of revenue</t>
  </si>
  <si>
    <t>Multi-utilities serve power, gas, water, and waste across multiple concessions. Balanced revenue mix (no segment &gt;50%) ensures one regulatory or operational setback doesn't derail consolidated earnings. Torrent Power, CESC, Adani Energy are examples.</t>
  </si>
  <si>
    <t>Regulated vs. Unregulated Mix</t>
  </si>
  <si>
    <t>Regulated ≥60% of EBITDA</t>
  </si>
  <si>
    <t>Regulated segments (power distribution, gas pipelines) provide predictable base earnings. Unregulated segments (merchant power, gas trading) add upside but carry volatility. ≥60% regulated ensures defensive earnings floor.</t>
  </si>
  <si>
    <t>Multi-utilities must justify conglomerate complexity by delivering &gt;14% consolidated ROE. Below this, the market applies a holding company discount as standalone entities might earn more independently. Torrent Power ~16%, CESC ~12%.</t>
  </si>
  <si>
    <t>Concession / License Tenure</t>
  </si>
  <si>
    <t>Avg remaining concession &gt;15 years</t>
  </si>
  <si>
    <t>Multi-utilities hold multiple concessions (power distribution licenses, CGD GAs, water concessions). Average remaining tenure &gt;15 years provides long-term revenue visibility. Short remaining tenure in key concessions = renewal risk.</t>
  </si>
  <si>
    <t>&lt;1.5x consolidated</t>
  </si>
  <si>
    <t>Multi-utilities carry infrastructure debt across segments. Consolidated D/E &lt;1.5x is prudent. Higher leverage is acceptable at project SPV level (regulated cash flows) but corporate-level leverage must remain manageable for investment-grade rating.</t>
  </si>
  <si>
    <t>Cross-Sell / Bundled Services</t>
  </si>
  <si>
    <t>Bundled service offerings in ≥2 utility verticals</t>
  </si>
  <si>
    <t>Multi-utilities justify their structure by offering bundled services (power + gas + EV charging + rooftop solar) to the same customer base. Cross-selling reduces customer acquisition cost and increases wallet share. Without bundling, it's just a holding company.</t>
  </si>
  <si>
    <t>Capex Pipeline</t>
  </si>
  <si>
    <t>≥15% annual capex growth across segments</t>
  </si>
  <si>
    <t>Regulated equity base growth drives earnings for utilities. Multi-utilities investing 15%+ annually across segments (smart meters, gas network expansion, renewable capacity) grow their regulated asset base and future earnings power simultaneously.</t>
  </si>
  <si>
    <t>8. Environmental Services &amp; Carbon</t>
  </si>
  <si>
    <t>Carbon Credit Portfolio &amp; Revenue</t>
  </si>
  <si>
    <t>Verified carbon credits ≥100,000 tCO2e/year; revenue from credits growing</t>
  </si>
  <si>
    <t>India's carbon market (launched 2023 under Energy Conservation Act) creates tradeable carbon credit instruments (CCIs). Companies generating verified carbon credits from renewable energy, waste management, or afforestation projects can sell these credits domestically and internationally. Revenue from carbon credits is high-margin (near-zero marginal cost). Early movers building large credit portfolios have first-mover advantage as India targets net-zero by 2070.</t>
  </si>
  <si>
    <t>ESG Services Revenue Growth</t>
  </si>
  <si>
    <t>Revenue CAGR ≥25%; ESG consulting + compliance services expanding</t>
  </si>
  <si>
    <t>SEBI's BRSR (Business Responsibility and Sustainability Reporting) mandate for top 1,000 listed companies creates demand for ESG consulting, carbon accounting, sustainability reporting, and compliance services. Companies offering integrated ESG solutions (measurement, reporting, reduction strategy) capture growing wallet share. International ESG disclosure standards (ISSB, EU CSRD for Indian exporters) expand the addressable market.</t>
  </si>
  <si>
    <t>Waste-to-Value Processing Capacity</t>
  </si>
  <si>
    <t>Processing capacity growth ≥20% YoY; waste diversion rate ≥80%</t>
  </si>
  <si>
    <t>Environmental services companies convert waste streams into value — waste-to-energy, e-waste recycling (Attero, Eco Recycling), hazardous waste treatment (Clean Earth), and construction &amp; demolition waste processing. Regulatory mandates (Extended Producer Responsibility for plastics, e-waste rules) create guaranteed feedstock. Companies with permitted processing capacity in multiple waste streams and growing utilization rates have scalable business models.</t>
  </si>
  <si>
    <t>Regulatory &amp; Compliance Positioning</t>
  </si>
  <si>
    <t>CPCB/SPCB authorizations current; compliance track record clean</t>
  </si>
  <si>
    <t>Environmental services operate in heavily regulated space — CPCB (Central Pollution Control Board) authorizations, SPCB permits, hazardous waste transport licenses, and biomedical waste management authorizations are mandatory. Companies with clean compliance records, multiple permits across states, and strong regulatory relationships face lower operational disruption risk. Non-compliance penalties and facility shutdowns are existential risks.</t>
  </si>
  <si>
    <t>≥20% for carbon/ESG consulting; ≥15% for waste processing</t>
  </si>
  <si>
    <t>Environmental services margins vary by sub-segment: ESG consulting and carbon advisory earn 25-35% EBITDA margins (knowledge-based, asset-light). Waste processing earns 15-22% (capital-intensive plants, logistics). Carbon credit generation earns 70-80% incremental margins once projects are registered. Companies with a mix of consulting (high-margin, low-capex) and processing (scalable, recurring) operations have balanced margin profiles.</t>
  </si>
  <si>
    <t>Technology &amp; IP</t>
  </si>
  <si>
    <t>Proprietary technology for emission measurement, waste processing, or carbon accounting</t>
  </si>
  <si>
    <t>Technology differentiation in environmental services includes: IoT-based emission monitoring (CEMS — Continuous Emission Monitoring Systems), AI-powered ESG data platforms, proprietary waste processing technologies (plasma gasification, pyrolysis), and blockchain-based carbon credit verification. Companies with proprietary technology earn higher margins and create barriers against competitors using generic solutions.</t>
  </si>
  <si>
    <t>Revenue Seasonality &amp; Monsoon Dependence</t>
  </si>
  <si>
    <t>Kharif:Rabi revenue split ≤60:40; Q2+Q3 ≤65% of annual revenue</t>
  </si>
  <si>
    <t>India's agriculture is monsoon-driven — Kharif (June-Oct) and Rabi (Nov-Mar) seasons create inherent revenue lumpiness. Companies heavily skewed to one season face cash flow volatility and working capital strain. Agrochemical demand concentrates in Q2 (Jul-Sep) and Q3 (Oct-Dec). Fertilizer demand tracks sowing patterns. Companies with diversified seasonal exposure (both Kharif and Rabi products, or export markets with counter-seasonal demand) have smoother earnings. Drought years can cut demand 15-25% for crop protection and seeds.</t>
  </si>
  <si>
    <t>Fertilizers &amp; Agrochemicals</t>
  </si>
  <si>
    <t>Government Policy &amp; Subsidy Dependence</t>
  </si>
  <si>
    <t>Subsidy-linked revenue &lt;40% of total; MSP exposure manageable</t>
  </si>
  <si>
    <t>Indian agriculture is among the most regulated sectors globally. Fertilizer prices are government-controlled (NBS regime for P&amp;K, urea under fixed pricing). Subsidy receivables from the government create massive working capital needs — companies like RCF, NFL carry ₹3,000-5,000 Cr in subsidy receivables. MSP decisions affect crop economics and farmer purchasing power for inputs. APMC reforms, PM-KISAN, crop insurance subsidies, and export bans/duties on agri commodities all directly impact sector profitability. Companies with lower subsidy dependence (specialty chemicals, branded seeds, exports) are more resilient to policy shifts.</t>
  </si>
  <si>
    <t>Seeds &amp; Crop Science</t>
  </si>
  <si>
    <t>Revenue CAGR ≥12% over 3 years</t>
  </si>
  <si>
    <t>India's agri-input market is growing at 10-14% driven by rising farm mechanization, increasing use of crop protection, hybrid seed adoption, and growing food demand. Export-oriented agrochemicals (PI Industries, UPL) benefit from 'China+1' shifts in global supply chains. Volume growth (acreage under protection × dose per hectare) and price growth (product premiums from proprietary molecules) both matter. Companies growing faster than the industry average (12-15%) are gaining market share.</t>
  </si>
  <si>
    <t>Plantation &amp; Commodity Crops</t>
  </si>
  <si>
    <t>≥18% for agrochemicals; ≥12% for fertilizers</t>
  </si>
  <si>
    <t>Agri-business margins vary significantly by sub-segment. Specialty agrochemicals and CRAMS (PI Industries) earn 20-25% EBITDA margins. Generic crop protection earns 15-20%. Fertilizers operate on thin, government-regulated margins of 8-14% (subsidy-dependent). Seeds companies earn 15-25% (higher for proprietary hybrids). Farm equipment earns 12-16%. The sector is exposed to raw material volatility (crude-linked intermediates for agrochemicals, gas for urea, phosphoric acid for DAP). Companies with backward integration, proprietary products, and export diversification sustain higher margins through cycles.</t>
  </si>
  <si>
    <t>Animal Feed &amp; Nutrition</t>
  </si>
  <si>
    <t>≥18% for agrochemicals; ≥15% overall</t>
  </si>
  <si>
    <t>Capital efficiency in agriculture varies widely. Agrochemical companies with proprietary molecules and asset-light CRAMS models (PI Industries ROCE ~25%) are highly capital-efficient. Fertilizer companies are capital-intensive with regulated returns (ROCE 10-15%). Seeds companies are moderately capital-efficient (ROCE 18-22%) due to R&amp;D-intensive but asset-light models. Farm equipment (Escorts, Swaraj) depends on cyclical demand. ROCE must exceed WACC (~12-13%) to create shareholder value. Subsidy receivables inflate capital employed for fertilizer companies, depressing ROCE artificially.</t>
  </si>
  <si>
    <t>Farm Equipment &amp; Irrigation</t>
  </si>
  <si>
    <t>Export Share &amp; Diversification</t>
  </si>
  <si>
    <t>Export revenue ≥30% for agrochemicals; diversified geographies</t>
  </si>
  <si>
    <t>India is a global agrochemical manufacturing hub — 4th largest producer globally. Export revenue provides counter-seasonal diversification (Northern Hemisphere crops offset Indian monsoon dependency), higher margins (branded exports earn 5-10% premium over domestic), and currency tailwinds. PI Industries derives &gt;50% from CRAMS exports. UPL operates in 130+ countries. Companies with high export share (&gt;30%) are more resilient to domestic monsoon volatility and government policy changes.</t>
  </si>
  <si>
    <t>Agri Trading &amp; Processing</t>
  </si>
  <si>
    <t>Working Capital Intensity</t>
  </si>
  <si>
    <t>Net working capital days &lt;90; subsidy receivables declining</t>
  </si>
  <si>
    <t>Agriculture is inherently working-capital-intensive due to seasonal production, channel stocking (distributors need credit), and government subsidy receivable delays. Fertilizer companies carry 60-120 days of subsidy receivables. Agrochemical companies face 90-120 day cycles (inventory build before season, receivables from distributors). Companies that have reduced NWC days through better channel management, direct-to-farmer sales, or subsidy receivable reduction demonstrate superior operational efficiency.</t>
  </si>
  <si>
    <t>1. Fertilizers &amp; Agrochemicals</t>
  </si>
  <si>
    <t>Revenue Mix (Branded vs Generic; Domestic vs Export)</t>
  </si>
  <si>
    <t>Branded/specialty &gt;40% of revenue; Export &gt;30%</t>
  </si>
  <si>
    <t>Branded agrochemicals command 20-30% premium over generics. Companies like Bayer Crop Science, Rallis India, and PI Industries with strong branded portfolios and export CRAMS pipelines earn higher and more stable margins. Generic-heavy portfolios face price erosion and competition. The domestic-vs-export split determines monsoon dependency — higher export share reduces seasonal volatility.</t>
  </si>
  <si>
    <t>R&amp;D Pipeline &amp; New Product Launches</t>
  </si>
  <si>
    <t>≥5 new product registrations/year; R&amp;D &gt;3% of revenue</t>
  </si>
  <si>
    <t>Agrochemical product lifecycles are 10-15 years. Continuous new molecule development and registrations are essential for growth. PI Industries' CRAMS pipeline (new molecules for global innovators) is its primary growth driver. Dhanuka and Rallis launch 5-10 new formulations annually. Companies with strong R&amp;D (&gt;3% of revenue) and a deep registration pipeline have multi-year growth visibility.</t>
  </si>
  <si>
    <t>Fertilizer companies carry ₹3,000-8,000 Cr in government subsidy receivables. Delays in subsidy disbursement (30-90 days typical, can stretch to 180 days) create massive working capital strain and interest costs. Companies like Chambal Fertilisers and Coromandel with lower subsidy receivable days operate more efficiently. Direct Benefit Transfer (DBT) adoption is gradually improving receivable cycles but implementation is uneven.</t>
  </si>
  <si>
    <t>≥18% for agrochemicals; ≥10% for fertilizers</t>
  </si>
  <si>
    <t>Agrochemical margins are driven by product mix (specialty vs generic), backward integration, and raw material management. Fertilizer margins are largely government-determined — NBS (Nutrient Based Subsidy) for P&amp;K fertilizers gives some pricing flexibility, while urea margins are fixed. Crude oil and gas price movements directly impact agrochemical intermediates and urea feedstock costs. Companies with backward integration into key intermediates (Aarti Industries supplies to agrochemical majors) sustain higher margins.</t>
  </si>
  <si>
    <t>Distribution Network &amp; Farmer Reach</t>
  </si>
  <si>
    <t>&gt;10,000 dealers; direct farmer programs active</t>
  </si>
  <si>
    <t>India has 120,000+ agrochemical dealers. Distribution depth determines market access — companies like UPL and Bayer with 50,000+ touchpoints have structural advantages. Direct-to-farmer digital platforms (DeHaat, Nurture Farm) are emerging but traditional distribution remains dominant. Strong last-mile reach in Tier 2/3 rural markets is a competitive moat that takes decades to build.</t>
  </si>
  <si>
    <t xml:space="preserve">  </t>
  </si>
  <si>
    <t>Regulatory Compliance &amp; Product Approvals</t>
  </si>
  <si>
    <t>Zero product bans; registrations in key export markets</t>
  </si>
  <si>
    <t>CIB (Central Insecticides Board) registration is mandatory in India. Global registrations (US EPA, EU) take 3-5 years and $5-15M per molecule. Companies with multi-market registrations have significant barriers to entry. Product bans (India banned 27 pesticides in 2020) can eliminate revenue overnight — companies with diversified portfolios across chemical classes are better insulated. REACH compliance for EU exports is increasingly important.</t>
  </si>
  <si>
    <t>Capital efficiency reflects the quality of the business model. PI Industries (CRAMS + branded) achieves ROCE of 22-25%. Coromandel (integrated fertilizer + crop protection) earns 18-22%. Pure-play fertilizer companies (RCF, NFL) struggle to earn above 10-12% due to regulated pricing and capital-intensive plants. ROCE must be compared within sub-segments, not across fertilizer and agrochemical companies.</t>
  </si>
  <si>
    <t>2. Seeds &amp; Crop Science</t>
  </si>
  <si>
    <t>Hybrid Seed Portfolio &amp; Crop Diversification</t>
  </si>
  <si>
    <t>≥5 crop segments; hybrid share &gt;70% of seed revenue</t>
  </si>
  <si>
    <t>Hybrid seeds command 3-5x premium over open-pollinated varieties (OPV). Kaveri Seeds dominates in maize and cotton hybrids. Rallis India has vegetable seeds. Companies with diversified crop portfolios (cotton, maize, paddy, vegetables, millets) are insulated from single-crop risks. Climate change is shifting cropping patterns — companies investing in drought-tolerant and short-duration varieties have structural advantages.</t>
  </si>
  <si>
    <t>R&amp;D Spend &amp; Germplasm Library</t>
  </si>
  <si>
    <t>R&amp;D &gt;8% of revenue; proprietary germplasm bank</t>
  </si>
  <si>
    <t>Seeds R&amp;D takes 7-12 years from discovery to commercial launch. Strong germplasm (genetic material) libraries are irreplaceable competitive moats. Kaveri Seeds, Nuziveedu, and Rasi Seeds invest 8-12% of revenue in R&amp;D. Gene-editing technologies (CRISPR) and marker-assisted selection are accelerating development cycles. Companies without proprietary germplasm rely on licensed genetics with lower margins and limited differentiation.</t>
  </si>
  <si>
    <t>Revenue Growth (Volume × Price)</t>
  </si>
  <si>
    <t>≥15% revenue CAGR; volume growth ≥10%</t>
  </si>
  <si>
    <t>Indian seed market is growing 12-15% driven by hybrid adoption, farm mechanization, and government push for food security. Volume growth (acres under hybrid cultivation × seed rate) is the sustainable driver — price increases face farmer affordability constraints. Companies gaining market share in under-penetrated crops (vegetables, pulses, millets) show stronger growth trajectories.</t>
  </si>
  <si>
    <t>≥20% for hybrid seeds; ≥12% for OPV-heavy portfolios</t>
  </si>
  <si>
    <t>Hybrid seeds earn 20-30% EBITDA margins due to proprietary genetics and annual repeat purchase requirement (farmers must buy new seed each season). OPV seeds earn 10-15% as farmers can save and replant. Seed processing, quality testing, and cold chain storage add costs. Counterfeiting is a risk — branded seeds with traceability (QR codes, app-based verification) command premiums.</t>
  </si>
  <si>
    <t>Seasonal Performance &amp; Inventory Risk</t>
  </si>
  <si>
    <t>Inventory writeoff &lt;5% of seed production; carry-forward &lt;15%</t>
  </si>
  <si>
    <t>Seeds are perishable biological products with strict shelf life (1-2 seasons). Unsold inventory from a bad monsoon year becomes waste — companies must accurately forecast demand. Carry-forward inventory &gt;15% signals either poor demand planning or a failed season. Cotton seed has additional risk from Bt cotton resistance issues. Companies with better demand sensing (distributor data, weather analytics) minimize inventory losses.</t>
  </si>
  <si>
    <t>Market Share &amp; Brand Strength</t>
  </si>
  <si>
    <t>Top 3 in at least 2 crop segments; brand recall among farmers</t>
  </si>
  <si>
    <t>India's organized seed market is ₹25,000+ Cr with the top 10 players holding ~40% share. Local/regional brands compete fiercely. Brand loyalty among farmers is built through yield performance — one season of poor performance destroys 5 years of brand building. Companies with consistent yield superiority, strong demo farm programs, and field agronomist networks maintain market share.</t>
  </si>
  <si>
    <t>3. Plantation &amp; Commodity Crops</t>
  </si>
  <si>
    <t>Commodity Price Realization</t>
  </si>
  <si>
    <t>Realization within 5% of benchmark (MCX/NCDEX); forward selling &gt;30%</t>
  </si>
  <si>
    <t>Plantation companies (tea, coffee, rubber, palm oil, spices) are pure commodity businesses — price is set by global markets. Tata Consumer (tea/coffee), KRBL (basmati rice), LT Foods are exposed to volatile commodity prices. Companies with forward selling/hedging programs, branded end-products (Tata Tea, India Gate rice), or value-added processing earn more stable margins. Price realization vs benchmark indicates operational and marketing efficiency.</t>
  </si>
  <si>
    <t>Yield &amp; Productivity per Hectare</t>
  </si>
  <si>
    <t>Yield in top quartile for crop type; improving trend over 3 years</t>
  </si>
  <si>
    <t>Yield is the fundamental metric for plantation efficiency. Tea: 2,000-2,500 kg/ha is good (Assam); Coffee: 1,500-2,000 kg/ha (robusta). Improving yields through better agricultural practices, mechanization, and variety selection directly translates to higher revenue per unit of fixed cost. Companies investing in precision agriculture and irrigation see 15-25% yield improvements over 5 years.</t>
  </si>
  <si>
    <t>≥10% revenue CAGR including volume + price</t>
  </si>
  <si>
    <t>Growth comes from acreage expansion, yield improvement, and commodity price movements. Branded products (Tata Tea, KRBL's India Gate) provide pricing power beyond commodity cycles. Export-oriented companies benefit from rupee depreciation. Companies growing volumes organically (not just riding commodity price rallies) demonstrate sustainable business expansion.</t>
  </si>
  <si>
    <t>≥15% for branded; ≥10% for commodity</t>
  </si>
  <si>
    <t>Plantation margins are highly cyclical — tea margins swing 8-20% based on auction prices. Branded tea/coffee/rice companies earn 12-18% EBITDA margin vs 8-12% for commodity sellers. Rubber plantations earn 10-15%. Companies with downstream branding and direct consumer channels (e-commerce, D2C) capture value that pure plantation operators miss.</t>
  </si>
  <si>
    <t>Inventory Management &amp; Quality Grading</t>
  </si>
  <si>
    <t>Inventory turnover ≥6x; premium grade share &gt;40%</t>
  </si>
  <si>
    <t>Agricultural commodities are perishable. Tea has a 2-year shelf life, rice needs aging (basmati improves with 1-2 year aging). Inventory management — timing of sales, storage quality, and grading — directly impacts realization. KRBL's aged basmati inventory strategy is a competitive advantage. Companies with modern warehousing, cold chains, and quality sorting earn 10-20% premium through better grade distribution.</t>
  </si>
  <si>
    <t>Export Market Access</t>
  </si>
  <si>
    <t>Export revenue ≥25%; presence in ≥10 countries</t>
  </si>
  <si>
    <t>India exports significant quantities of tea, coffee, spices, and basmati rice. Export markets provide currency diversification and premium pricing (basmati rice commands 40-60% premium in Middle East/EU). Companies with established buyer relationships, organic/fair-trade certifications, and multi-country presence have structural advantages. Export bans (rice export restrictions in 2023) are a key policy risk.</t>
  </si>
  <si>
    <t>4. Animal Feed &amp; Nutrition</t>
  </si>
  <si>
    <t>Revenue Growth (Volume-driven)</t>
  </si>
  <si>
    <t>Volume CAGR ≥12%; revenue CAGR ≥15%</t>
  </si>
  <si>
    <t>India's compound feed market is ₹1.2 lakh Cr+ and growing at 12-15% driven by rising protein consumption (dairy, poultry, aquaculture). Organized feed companies (Godrej Agrovet, Cargill, Suguna) are gaining share from unorganized local mixers. Poultry feed demand grows 8-10% annually. Aquaculture feed is the fastest-growing segment (15-20%). Volume growth is more sustainable than price-led growth in this cost-sensitive market.</t>
  </si>
  <si>
    <t>≥8% for cattle/poultry feed; ≥12% for specialty/aqua feed</t>
  </si>
  <si>
    <t>Feed is a thin-margin, volume-driven business. Commodity feed (cattle/poultry) earns 5-8% EBITDA margin. Specialty feed (aquaculture, shrimp, pet food) earns 10-15% due to specialized formulations. Companies with backward integration into soy/maize procurement and forward integration into animal health/genetics (Godrej Agrovet's integrated model) capture more margin across the value chain.</t>
  </si>
  <si>
    <t>Raw Material Cost Management</t>
  </si>
  <si>
    <t>Soy + Maize cost &lt;65% of revenue; procurement within ₹500/quintal of MSP</t>
  </si>
  <si>
    <t>Soy meal and maize account for 60-70% of feed cost. These are monsoon-dependent, volatile commodities. Companies with direct farmer procurement (bypassing mandis), long-term supply contracts, and commodity hedging programs manage input cost volatility better. Buffer inventory of 30-45 days is typical. Companies buying at mandi floor prices vs spot premium show procurement efficiency.</t>
  </si>
  <si>
    <t>Integration Level (Feed-to-Farm)</t>
  </si>
  <si>
    <t>Vertically integrated across ≥2 segments of value chain</t>
  </si>
  <si>
    <t>Godrej Agrovet's model: feed + breeding + farming + processing is India's benchmark. Vertical integration captures margin at each stage and provides control over quality and cost. Companies integrated into poultry breeding (Suguna, Venky's) or dairy processing (Heritage Foods, Parag Milk) earn 3-5% higher consolidated margins than pure-play feed companies.</t>
  </si>
  <si>
    <t>Distribution Network &amp; Cold Chain</t>
  </si>
  <si>
    <t>Dealer network &gt;5,000; cold chain coverage for perishable products</t>
  </si>
  <si>
    <t>Feed is a bulk, perishable product requiring regional distribution infrastructure. Companies with owned/contracted warehousing, efficient logistics, and deep rural dealer networks have competitive advantages. Aquaculture feed requires cold chain for live feed supplements. Companies expanding distribution to under-penetrated regions (Northeast India, tribal areas) access growth markets with less competition.</t>
  </si>
  <si>
    <t>Product Portfolio &amp; R&amp;D</t>
  </si>
  <si>
    <t>≥3 species-specific feed lines; R&amp;D partnerships with veterinary institutes</t>
  </si>
  <si>
    <t>Modern animal nutrition requires species-specific, life-stage-specific formulations (starter, grower, finisher feeds). Companies investing in nutritional R&amp;D (amino acid optimization, enzyme supplementation, probiotic feeds) produce better feed conversion ratios (FCR) for farmers, creating pull demand. Anti-biotic-free feed is emerging as a premium segment driven by export requirements and consumer awareness.</t>
  </si>
  <si>
    <t>5. Farm Equipment &amp; Irrigation</t>
  </si>
  <si>
    <t>Volume Growth (Tractor/Equipment Units)</t>
  </si>
  <si>
    <t>Volume CAGR ≥8%; market share stable or rising</t>
  </si>
  <si>
    <t>India is the world's largest tractor market (~1M units/year). Mahindra M&amp;M, TAFE, Escorts Kubota dominate. Tractor demand is cyclical — driven by monsoon, MSP hikes, rural income, and government subsidies (SMAM). Volume growth (units sold) is the primary metric as pricing is competitive. Micro-irrigation equipment (Jain Irrigation, Netafim) is a high-growth niche driven by Pradhan Mantri Krishi Sinchayee Yojana (PMKSY) subsidies.</t>
  </si>
  <si>
    <t>≥14% for tractors; ≥12% for irrigation equipment</t>
  </si>
  <si>
    <t>Tractor margins are 13-17% — Mahindra at the higher end due to scale and brand premium. Escort Kubota earns 12-14%. Irrigation equipment companies operate at 10-14%. Margins are sensitive to steel prices (tractors) and polymer/PVC prices (irrigation pipes and drip systems). Companies with higher-HP tractor mix, implements cross-sell, and after-market parts revenue earn superior margins.</t>
  </si>
  <si>
    <t>Market Share &amp; Distribution</t>
  </si>
  <si>
    <t>Top 3 in at least 1 HP segment; dealer network &gt;1,000</t>
  </si>
  <si>
    <t>India's tractor market is an oligopoly — top 5 players hold ~75% share. Dealer network depth determines rural reach. Mahindra has ~3,500 dealers, Escorts ~1,200. Market share in specific HP segments (sub-30HP, 30-50HP, 50HP+) matters — the mix is shifting toward higher HP. For irrigation, companies with distribution in water-stressed states (Maharashtra, Rajasthan, Karnataka) access the highest-demand markets.</t>
  </si>
  <si>
    <t>Product Portfolio &amp; Technology</t>
  </si>
  <si>
    <t>≥3 HP segments; technology partnerships active</t>
  </si>
  <si>
    <t>Product range across HP segments (sub-30HP for orchard, 30-50HP mainstream, 50HP+ commercial) captures wider demand. Precision agriculture attachments (GPS-guided, sensor-based) are emerging as premium accessories. Electric tractors are in early stage (Monarch Tractor). For irrigation, solar-powered pumps and IoT-enabled drip systems command 20-30% price premiums. Companies investing in technology differentiation build long-term competitive moats.</t>
  </si>
  <si>
    <t>Seasonal Demand &amp; Financing</t>
  </si>
  <si>
    <t>Q3+Q4 (Rabi+pre-Kharif) ≤55% of annual sales; financing tie-ups active</t>
  </si>
  <si>
    <t>Tractor demand peaks in Q3 (Rabi sowing) and Q1 (post-harvest cash). Companies with less seasonal concentration have smoother production and working capital. Tractor financing (70-80% of sales are financed) is critical — companies with captive finance arms (Mahindra Finance) or strong NBFC partnerships convert more enquiries to sales. Interest rate cycles directly impact tractor affordability.</t>
  </si>
  <si>
    <t>≥18% for tractors; ≥15% for irrigation</t>
  </si>
  <si>
    <t>Farm equipment is moderately capital-intensive (manufacturing plants, dealer inventory). Mahindra Farm Equipment achieves ROCE of 25-30% due to scale. Smaller players earn 14-18%. Irrigation companies face lower ROCE (12-16%) due to project execution cycles and government payment delays. ROCE must exceed cost of capital (~12-13%) for value creation.</t>
  </si>
  <si>
    <t>6. Agri Trading &amp; Processing</t>
  </si>
  <si>
    <t>Revenue CAGR ≥12%; volume growth ≥8%</t>
  </si>
  <si>
    <t>India's food processing sector is growing 14-16% driven by urbanization, packaged food demand, and export growth. Companies like KRBL (basmati rice), LT Foods, Adani Wilmar (edible oil), and ITC Agri-Business operate at the intersection of agriculture and FMCG. Volume growth from capacity expansion and market penetration is more sustainable than commodity price-driven revenue growth.</t>
  </si>
  <si>
    <t>Commodity Price Risk Management</t>
  </si>
  <si>
    <t>Hedging coverage ≥60% of 90-day inventory; forward contracts active</t>
  </si>
  <si>
    <t>Agri-trading is exposed to commodity price volatility — rice, wheat, sugar, edible oil, spices. Companies must manage procurement timing, inventory holding, and forward sales. KRBL's basmati rice model involves buying paddy at harvest (October-December) and selling processed rice over 12-18 months — inventory price risk is significant. Companies with active hedging on commodity exchanges (NCDEX, MCX) and forward export contracts manage volatility better.</t>
  </si>
  <si>
    <t>Value Addition &amp; Branding</t>
  </si>
  <si>
    <t>Branded/packaged products ≥40% of revenue; brand in top 3 in category</t>
  </si>
  <si>
    <t>The margin differential between commodity trading (3-5% EBITDA) and branded products (12-18% EBITDA) is enormous. KRBL's 'India Gate' rice brand commands 25-30% premium over loose rice. Adani Wilmar's 'Fortune' oil is India's #1 edible oil brand. Companies transitioning from commodity trading to branded consumer products see sustained margin expansion and valuation re-rating. Brand investment (advertising 3-5% of revenue) is an investment, not a cost.</t>
  </si>
  <si>
    <t>Capacity Utilization &amp; Processing Efficiency</t>
  </si>
  <si>
    <t>Capacity utilization ≥75%; processing loss &lt;3%</t>
  </si>
  <si>
    <t>Food processing plants (rice mills, oil refineries, sugar mills, flour mills) have high fixed costs. Capacity utilization above 75% is the breakeven threshold for most processing operations. Processing loss (weight loss during conversion of paddy to rice, oilseed to oil) directly impacts profitability — efficient processors achieve 2-3% loss vs 5-8% for inefficient ones. Multi-product processing flexibility (switching between crops based on availability/price) adds resilience.</t>
  </si>
  <si>
    <t>Export revenue ≥25%; presence in ≥15 countries</t>
  </si>
  <si>
    <t>India is the world's largest exporter of rice, spices, and marine products. Export-oriented companies benefit from currency tailwinds and premium pricing in international markets. Basmati rice exports to Middle East/EU are a ₹30,000+ Cr market. Spice exports are growing 15%+ annually. Companies with FSSAI, BRC, and FSSC certifications access premium Western markets. Export bans are the primary policy risk.</t>
  </si>
  <si>
    <t>Inventory days &lt;90; receivable days &lt;45; cash conversion cycle &lt;100 days</t>
  </si>
  <si>
    <t>Agri-trading is working-capital-intensive — companies must procure large quantities during harvest season (30-60 day window) and sell over 6-12 months. Seasonal procurement creates inventory bulges that require financing. Companies with efficient working capital cycles (KRBL at ~120 days, declining trend) generate better free cash flow despite the inherent seasonality. Bank credit limits and interest costs during peak procurement season are material P&amp;L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</si>
</sst>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b/>
      <sz val="12"/>
      <color rgb="FF000000"/>
      <name val="Calibri"/>
      <family val="2"/>
      <scheme val="minor"/>
    </font>
    <font>
      <b/>
      <sz val="11"/>
      <color rgb="FFFFFFFF"/>
      <name val="Calibri"/>
      <family val="2"/>
      <scheme val="minor"/>
    </font>
    <font>
      <sz val="11"/>
      <color theme="1"/>
      <name val="Calibri"/>
      <family val="2"/>
      <scheme val="minor"/>
    </font>
    <font>
      <sz val="10"/>
      <color theme="1"/>
      <name val="Calibri"/>
      <family val="2"/>
      <scheme val="minor"/>
    </font>
    <font>
      <b/>
      <sz val="11"/>
      <color theme="1"/>
      <name val="Calibri"/>
      <family val="2"/>
      <scheme val="minor"/>
    </font>
    <font>
      <b/>
      <sz val="13"/>
      <color theme="1"/>
      <name val="Calibri"/>
      <family val="2"/>
      <scheme val="minor"/>
    </font>
    <font>
      <b/>
      <sz val="14"/>
      <color theme="1"/>
      <name val="Calibri"/>
      <family val="2"/>
      <scheme val="minor"/>
    </font>
    <font>
      <b/>
      <sz val="12"/>
      <color theme="1"/>
      <name val="Calibri"/>
      <family val="2"/>
      <scheme val="minor"/>
    </font>
    <font>
      <b/>
      <sz val="13.5"/>
      <color theme="1"/>
      <name val="Calibri"/>
      <family val="2"/>
      <scheme val="minor"/>
    </font>
    <font>
      <sz val="14"/>
      <color theme="1"/>
      <name val="Calibri"/>
      <family val="2"/>
      <scheme val="minor"/>
    </font>
    <font>
      <sz val="11"/>
      <color rgb="FF666666"/>
      <name val="Calibri"/>
      <family val="2"/>
      <scheme val="minor"/>
    </font>
    <font>
      <sz val="11"/>
      <color rgb="FFFFFFFF"/>
      <name val="Calibri"/>
      <family val="2"/>
      <scheme val="minor"/>
    </font>
    <font>
      <b/>
      <sz val="12"/>
      <color rgb="FFFFFFFF"/>
      <name val="Calibri"/>
      <family val="2"/>
      <scheme val="minor"/>
    </font>
    <font>
      <i/>
      <sz val="10"/>
      <color rgb="FF666666"/>
      <name val="Calibri"/>
      <family val="2"/>
      <scheme val="minor"/>
    </font>
    <font>
      <sz val="11"/>
      <color rgb="FF4472C4"/>
      <name val="Calibri"/>
      <family val="2"/>
      <scheme val="minor"/>
    </font>
    <font>
      <b/>
      <sz val="11"/>
      <color rgb="FF4472C4"/>
      <name val="Calibri"/>
      <family val="2"/>
      <scheme val="minor"/>
    </font>
    <font>
      <b/>
      <i/>
      <sz val="10"/>
      <color rgb="FF666666"/>
      <name val="Calibri"/>
      <family val="2"/>
      <scheme val="minor"/>
    </font>
    <font>
      <b/>
      <sz val="11"/>
      <color rgb="FF006100"/>
      <name val="Calibri"/>
      <family val="2"/>
      <scheme val="minor"/>
    </font>
    <font>
      <b/>
      <sz val="11"/>
      <color rgb="FF004400"/>
      <name val="Calibri"/>
      <family val="2"/>
      <scheme val="minor"/>
    </font>
    <font>
      <b/>
      <sz val="11"/>
      <color rgb="FF663300"/>
      <name val="Calibri"/>
      <family val="2"/>
      <scheme val="minor"/>
    </font>
    <font>
      <b/>
      <sz val="11"/>
      <color rgb="FFFF6600"/>
      <name val="Calibri"/>
      <family val="2"/>
      <scheme val="minor"/>
    </font>
    <font>
      <b/>
      <sz val="11"/>
      <color rgb="FFFFFFFF"/>
      <name val="Calibri"/>
      <family val="2"/>
      <scheme val="minor"/>
    </font>
    <font>
      <b/>
      <sz val="14"/>
      <color rgb="FFFFFFFF"/>
      <name val="Calibri"/>
      <family val="2"/>
      <scheme val="minor"/>
    </font>
    <font>
      <sz val="14"/>
      <color rgb="FF006100"/>
      <name val="Calibri"/>
      <family val="2"/>
      <scheme val="minor"/>
    </font>
    <font>
      <b/>
      <sz val="14"/>
      <color rgb="FF006100"/>
      <name val="Calibri"/>
      <family val="2"/>
      <scheme val="minor"/>
    </font>
    <font>
      <b/>
      <sz val="14"/>
      <color rgb="FF004400"/>
      <name val="Calibri"/>
      <family val="2"/>
      <scheme val="minor"/>
    </font>
    <font>
      <b/>
      <sz val="14"/>
      <color rgb="FF663300"/>
      <name val="Calibri"/>
      <family val="2"/>
      <scheme val="minor"/>
    </font>
    <font>
      <b/>
      <sz val="14"/>
      <color rgb="FFFF6600"/>
      <name val="Calibri"/>
      <family val="2"/>
      <scheme val="minor"/>
    </font>
    <font>
      <i/>
      <sz val="14"/>
      <color rgb="FFFFFFFF"/>
      <name val="Calibri"/>
      <family val="2"/>
      <scheme val="minor"/>
    </font>
    <font>
      <b/>
      <sz val="14"/>
      <color rgb="FF1F4E79"/>
      <name val="Calibri"/>
      <family val="2"/>
      <scheme val="minor"/>
    </font>
    <font>
      <b/>
      <sz val="14"/>
      <color rgb="FFC00000"/>
      <name val="Calibri"/>
      <family val="2"/>
      <scheme val="minor"/>
    </font>
    <font>
      <i/>
      <sz val="14"/>
      <color rgb="FF4472C4"/>
      <name val="Calibri"/>
      <family val="2"/>
      <scheme val="minor"/>
    </font>
    <font>
      <i/>
      <sz val="14"/>
      <color rgb="FF548235"/>
      <name val="Calibri"/>
      <family val="2"/>
      <scheme val="minor"/>
    </font>
    <font>
      <b/>
      <sz val="14"/>
      <color rgb="FFBF8F00"/>
      <name val="Calibri"/>
      <family val="2"/>
      <scheme val="minor"/>
    </font>
    <font>
      <i/>
      <sz val="14"/>
      <color rgb="FF666666"/>
      <name val="Calibri"/>
      <family val="2"/>
      <scheme val="minor"/>
    </font>
    <font>
      <i/>
      <sz val="14"/>
      <color rgb="FF2E75B6"/>
      <name val="Calibri"/>
      <family val="2"/>
      <scheme val="minor"/>
    </font>
    <font>
      <b/>
      <sz val="14"/>
      <color theme="1"/>
      <name val="Calibri"/>
      <family val="2"/>
      <scheme val="minor"/>
    </font>
    <font>
      <b/>
      <sz val="14"/>
      <color rgb="FF4472C4"/>
      <name val="Calibri"/>
      <family val="2"/>
      <scheme val="minor"/>
    </font>
    <font>
      <sz val="14"/>
      <color rgb="FFBF8F00"/>
      <name val="Calibri"/>
      <family val="2"/>
      <scheme val="minor"/>
    </font>
    <font>
      <sz val="14"/>
      <color rgb="FFC00000"/>
      <name val="Calibri"/>
      <family val="2"/>
      <scheme val="minor"/>
    </font>
    <font>
      <i/>
      <sz val="14"/>
      <color rgb="FF375623"/>
      <name val="Calibri"/>
      <family val="2"/>
      <scheme val="minor"/>
    </font>
    <font>
      <b/>
      <sz val="14"/>
      <color rgb="FF375623"/>
      <name val="Calibri"/>
      <family val="2"/>
      <scheme val="minor"/>
    </font>
    <font>
      <b/>
      <sz val="14"/>
      <color rgb="FF548235"/>
      <name val="Calibri"/>
      <family val="2"/>
      <scheme val="minor"/>
    </font>
    <font>
      <b/>
      <sz val="14"/>
      <color rgb="FF7030A0"/>
      <name val="Calibri"/>
      <family val="2"/>
      <scheme val="minor"/>
    </font>
    <font>
      <i/>
      <sz val="14"/>
      <color rgb="FF7F6000"/>
      <name val="Calibri"/>
      <family val="2"/>
      <scheme val="minor"/>
    </font>
    <font>
      <i/>
      <sz val="14"/>
      <color rgb="FF7F0000"/>
      <name val="Calibri"/>
      <family val="2"/>
      <scheme val="minor"/>
    </font>
    <font>
      <b/>
      <sz val="13"/>
      <color rgb="FF1F4E78"/>
      <name val="Calibri"/>
      <family val="2"/>
    </font>
    <font>
      <sz val="10"/>
      <name val="Calibri"/>
      <family val="2"/>
    </font>
    <font>
      <b/>
      <sz val="11"/>
      <color rgb="FF1F4E78"/>
      <name val="Calibri"/>
      <family val="2"/>
    </font>
    <font>
      <b/>
      <sz val="10"/>
      <color rgb="FFC00000"/>
      <name val="Calibri"/>
      <family val="2"/>
    </font>
    <font>
      <i/>
      <sz val="10"/>
      <color rgb="FF595959"/>
      <name val="Calibri"/>
      <family val="2"/>
    </font>
  </fonts>
  <fills count="34">
    <fill>
      <patternFill patternType="none"/>
    </fill>
    <fill>
      <patternFill patternType="gray125"/>
    </fill>
    <fill>
      <patternFill patternType="solid">
        <fgColor rgb="FFD9E2F3"/>
        <bgColor indexed="64"/>
      </patternFill>
    </fill>
    <fill>
      <patternFill patternType="solid">
        <fgColor rgb="FF1F4E79"/>
        <bgColor indexed="64"/>
      </patternFill>
    </fill>
    <fill>
      <patternFill patternType="solid">
        <fgColor rgb="FFE8F0FE"/>
        <bgColor indexed="64"/>
      </patternFill>
    </fill>
    <fill>
      <patternFill patternType="solid">
        <fgColor rgb="FFE6F4EA"/>
        <bgColor indexed="64"/>
      </patternFill>
    </fill>
    <fill>
      <patternFill patternType="solid">
        <fgColor rgb="FFFFF3E0"/>
        <bgColor indexed="64"/>
      </patternFill>
    </fill>
    <fill>
      <patternFill patternType="solid">
        <fgColor rgb="FFFCE4EC"/>
        <bgColor indexed="64"/>
      </patternFill>
    </fill>
    <fill>
      <patternFill patternType="solid">
        <fgColor rgb="FFE0F7FA"/>
        <bgColor indexed="64"/>
      </patternFill>
    </fill>
    <fill>
      <patternFill patternType="solid">
        <fgColor rgb="FFF3E5F5"/>
        <bgColor indexed="64"/>
      </patternFill>
    </fill>
    <fill>
      <patternFill patternType="solid">
        <fgColor rgb="FFFFF8E1"/>
        <bgColor indexed="64"/>
      </patternFill>
    </fill>
    <fill>
      <patternFill patternType="solid">
        <fgColor rgb="FFE8EAF6"/>
        <bgColor indexed="64"/>
      </patternFill>
    </fill>
    <fill>
      <patternFill patternType="solid">
        <fgColor rgb="FFEFEBE9"/>
        <bgColor indexed="64"/>
      </patternFill>
    </fill>
    <fill>
      <patternFill patternType="solid">
        <fgColor rgb="FFF1F8E9"/>
        <bgColor indexed="64"/>
      </patternFill>
    </fill>
    <fill>
      <patternFill patternType="solid">
        <fgColor rgb="FF1B3A5C"/>
        <bgColor indexed="64"/>
      </patternFill>
    </fill>
    <fill>
      <patternFill patternType="solid">
        <fgColor rgb="FFE0F2F1"/>
        <bgColor indexed="64"/>
      </patternFill>
    </fill>
    <fill>
      <patternFill patternType="solid">
        <fgColor rgb="FFFFFFFF"/>
        <bgColor indexed="64"/>
      </patternFill>
    </fill>
    <fill>
      <patternFill patternType="solid">
        <fgColor rgb="FF4472C4"/>
        <bgColor indexed="64"/>
      </patternFill>
    </fill>
    <fill>
      <patternFill patternType="solid">
        <fgColor rgb="FF548235"/>
        <bgColor indexed="64"/>
      </patternFill>
    </fill>
    <fill>
      <patternFill patternType="solid">
        <fgColor rgb="FFE2EFDA"/>
        <bgColor indexed="64"/>
      </patternFill>
    </fill>
    <fill>
      <patternFill patternType="solid">
        <fgColor rgb="FFBF8F00"/>
        <bgColor indexed="64"/>
      </patternFill>
    </fill>
    <fill>
      <patternFill patternType="solid">
        <fgColor rgb="FFFFF2CC"/>
        <bgColor indexed="64"/>
      </patternFill>
    </fill>
    <fill>
      <patternFill patternType="solid">
        <fgColor rgb="FFC00000"/>
        <bgColor indexed="64"/>
      </patternFill>
    </fill>
    <fill>
      <patternFill patternType="solid">
        <fgColor rgb="FFC6EFCE"/>
        <bgColor indexed="64"/>
      </patternFill>
    </fill>
    <fill>
      <patternFill patternType="solid">
        <fgColor rgb="FFDDEBF7"/>
        <bgColor indexed="64"/>
      </patternFill>
    </fill>
    <fill>
      <patternFill patternType="solid">
        <fgColor rgb="FFFCE4D6"/>
        <bgColor indexed="64"/>
      </patternFill>
    </fill>
    <fill>
      <patternFill patternType="solid">
        <fgColor rgb="FFFF0000"/>
        <bgColor indexed="64"/>
      </patternFill>
    </fill>
    <fill>
      <patternFill patternType="solid">
        <fgColor rgb="FF7030A0"/>
        <bgColor indexed="64"/>
      </patternFill>
    </fill>
    <fill>
      <patternFill patternType="solid">
        <fgColor rgb="FFD9D2E9"/>
        <bgColor indexed="64"/>
      </patternFill>
    </fill>
    <fill>
      <patternFill patternType="solid">
        <fgColor rgb="FF404040"/>
        <bgColor indexed="64"/>
      </patternFill>
    </fill>
    <fill>
      <patternFill patternType="solid">
        <fgColor rgb="FF2E75B6"/>
        <bgColor indexed="64"/>
      </patternFill>
    </fill>
    <fill>
      <patternFill patternType="solid">
        <fgColor rgb="FF375623"/>
        <bgColor indexed="64"/>
      </patternFill>
    </fill>
    <fill>
      <patternFill patternType="solid">
        <fgColor rgb="FFD6E4F0"/>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0D2137"/>
      </left>
      <right style="thin">
        <color rgb="FF0D2137"/>
      </right>
      <top style="thin">
        <color rgb="FF0D2137"/>
      </top>
      <bottom/>
      <diagonal/>
    </border>
    <border>
      <left style="thin">
        <color rgb="FF0D2137"/>
      </left>
      <right style="thin">
        <color rgb="FF0D2137"/>
      </right>
      <top style="medium">
        <color rgb="FF0D2137"/>
      </top>
      <bottom style="thin">
        <color rgb="FFD0D0D0"/>
      </bottom>
      <diagonal/>
    </border>
    <border>
      <left style="thin">
        <color rgb="FF0D2137"/>
      </left>
      <right style="thin">
        <color rgb="FF0D2137"/>
      </right>
      <top style="thin">
        <color rgb="FFD0D0D0"/>
      </top>
      <bottom style="thin">
        <color rgb="FFD0D0D0"/>
      </bottom>
      <diagonal/>
    </border>
    <border>
      <left style="thin">
        <color rgb="FF0D2137"/>
      </left>
      <right style="thin">
        <color rgb="FF0D2137"/>
      </right>
      <top style="thin">
        <color rgb="FFD0D0D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style="thin">
        <color rgb="FFD9D9D9"/>
      </right>
      <top style="thin">
        <color rgb="FFD9D9D9"/>
      </top>
      <bottom style="thin">
        <color auto="1"/>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right/>
      <top style="medium">
        <color rgb="FFBF8F00"/>
      </top>
      <bottom/>
      <diagonal/>
    </border>
    <border>
      <left/>
      <right/>
      <top/>
      <bottom style="medium">
        <color rgb="FFBF8F00"/>
      </bottom>
      <diagonal/>
    </border>
    <border>
      <left/>
      <right style="medium">
        <color rgb="FFBF8F00"/>
      </right>
      <top style="medium">
        <color rgb="FFBF8F00"/>
      </top>
      <bottom/>
      <diagonal/>
    </border>
    <border>
      <left/>
      <right style="medium">
        <color rgb="FFBF8F00"/>
      </right>
      <top/>
      <bottom/>
      <diagonal/>
    </border>
    <border>
      <left/>
      <right style="medium">
        <color rgb="FFBF8F00"/>
      </right>
      <top/>
      <bottom style="medium">
        <color rgb="FFBF8F00"/>
      </bottom>
      <diagonal/>
    </border>
    <border>
      <left/>
      <right/>
      <top style="medium">
        <color rgb="FFC00000"/>
      </top>
      <bottom/>
      <diagonal/>
    </border>
    <border>
      <left/>
      <right/>
      <top/>
      <bottom style="medium">
        <color rgb="FFC00000"/>
      </bottom>
      <diagonal/>
    </border>
    <border>
      <left/>
      <right style="medium">
        <color rgb="FFC00000"/>
      </right>
      <top style="medium">
        <color rgb="FFC00000"/>
      </top>
      <bottom/>
      <diagonal/>
    </border>
    <border>
      <left/>
      <right style="medium">
        <color rgb="FFC00000"/>
      </right>
      <top/>
      <bottom style="medium">
        <color rgb="FFC00000"/>
      </bottom>
      <diagonal/>
    </border>
    <border>
      <left style="medium">
        <color rgb="FFBF8F00"/>
      </left>
      <right style="medium">
        <color rgb="FFBF8F00"/>
      </right>
      <top style="medium">
        <color rgb="FFBF8F00"/>
      </top>
      <bottom/>
      <diagonal/>
    </border>
    <border>
      <left style="medium">
        <color rgb="FFBF8F00"/>
      </left>
      <right style="medium">
        <color rgb="FFBF8F00"/>
      </right>
      <top/>
      <bottom/>
      <diagonal/>
    </border>
    <border>
      <left style="medium">
        <color rgb="FFBF8F00"/>
      </left>
      <right style="medium">
        <color rgb="FFBF8F00"/>
      </right>
      <top/>
      <bottom style="medium">
        <color rgb="FFBF8F00"/>
      </bottom>
      <diagonal/>
    </border>
    <border>
      <left style="medium">
        <color rgb="FFC00000"/>
      </left>
      <right style="medium">
        <color rgb="FFC00000"/>
      </right>
      <top/>
      <bottom style="medium">
        <color rgb="FFC00000"/>
      </bottom>
      <diagonal/>
    </border>
    <border>
      <left style="medium">
        <color rgb="FFC00000"/>
      </left>
      <right style="medium">
        <color rgb="FFC00000"/>
      </right>
      <top style="medium">
        <color rgb="FFC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5">
    <xf numFmtId="0" fontId="0" fillId="0" borderId="0" xfId="0"/>
    <xf numFmtId="0" fontId="0" fillId="0" borderId="1" xfId="0" applyBorder="1"/>
    <xf numFmtId="0" fontId="1" fillId="0" borderId="1" xfId="0" applyFont="1" applyBorder="1"/>
    <xf numFmtId="0" fontId="0" fillId="0" borderId="0" xfId="0" applyAlignment="1">
      <alignment vertical="center" wrapText="1"/>
    </xf>
    <xf numFmtId="0" fontId="2" fillId="0" borderId="1" xfId="0" applyFont="1" applyBorder="1" applyAlignment="1">
      <alignment vertical="center"/>
    </xf>
    <xf numFmtId="0" fontId="0" fillId="0" borderId="1" xfId="0" applyBorder="1" applyAlignment="1">
      <alignment horizontal="left" vertical="center" indent="1"/>
    </xf>
    <xf numFmtId="0" fontId="0" fillId="0" borderId="1" xfId="0" applyBorder="1" applyAlignment="1">
      <alignment horizontal="right"/>
    </xf>
    <xf numFmtId="0" fontId="1" fillId="0" borderId="1" xfId="0" applyFont="1" applyBorder="1" applyAlignment="1">
      <alignment horizontal="right"/>
    </xf>
    <xf numFmtId="0" fontId="1" fillId="0" borderId="1" xfId="0" applyFont="1" applyBorder="1" applyAlignment="1">
      <alignment horizontal="center" vertical="center" wrapText="1"/>
    </xf>
    <xf numFmtId="0" fontId="0" fillId="0" borderId="1" xfId="0" applyBorder="1" applyAlignment="1">
      <alignment vertical="center" wrapText="1"/>
    </xf>
    <xf numFmtId="9" fontId="0" fillId="0" borderId="1" xfId="0" applyNumberFormat="1" applyBorder="1" applyAlignment="1">
      <alignment vertical="center" wrapText="1"/>
    </xf>
    <xf numFmtId="0" fontId="0" fillId="0" borderId="1" xfId="0" applyBorder="1" applyAlignment="1">
      <alignment horizontal="center" vertical="center"/>
    </xf>
    <xf numFmtId="0" fontId="1" fillId="0" borderId="1" xfId="0" applyFont="1" applyBorder="1" applyAlignment="1">
      <alignment horizontal="center"/>
    </xf>
    <xf numFmtId="9" fontId="0" fillId="0" borderId="1" xfId="0" applyNumberFormat="1" applyBorder="1" applyAlignment="1">
      <alignment horizontal="center" vertical="center" wrapText="1"/>
    </xf>
    <xf numFmtId="0" fontId="0" fillId="0" borderId="1" xfId="0" applyBorder="1" applyAlignment="1">
      <alignment horizontal="center"/>
    </xf>
    <xf numFmtId="0" fontId="0" fillId="2" borderId="1" xfId="0" applyFill="1" applyBorder="1"/>
    <xf numFmtId="9" fontId="0" fillId="0" borderId="1" xfId="0" applyNumberFormat="1" applyBorder="1"/>
    <xf numFmtId="0" fontId="3" fillId="2" borderId="1" xfId="0" applyFont="1" applyFill="1" applyBorder="1"/>
    <xf numFmtId="0" fontId="3"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vertical="center" wrapText="1"/>
    </xf>
    <xf numFmtId="0" fontId="4" fillId="2" borderId="1" xfId="0" applyFont="1" applyFill="1" applyBorder="1"/>
    <xf numFmtId="0" fontId="0" fillId="0" borderId="2" xfId="0" applyBorder="1"/>
    <xf numFmtId="0" fontId="1" fillId="2" borderId="1" xfId="0" applyFont="1" applyFill="1" applyBorder="1"/>
    <xf numFmtId="0" fontId="0" fillId="0" borderId="1" xfId="0" applyBorder="1" applyAlignment="1">
      <alignment vertical="center"/>
    </xf>
    <xf numFmtId="9" fontId="0" fillId="0" borderId="1" xfId="0" applyNumberFormat="1" applyBorder="1" applyAlignment="1">
      <alignment vertical="center"/>
    </xf>
    <xf numFmtId="9" fontId="0" fillId="0" borderId="1" xfId="0" applyNumberFormat="1" applyBorder="1" applyAlignment="1">
      <alignment horizontal="center" vertical="center"/>
    </xf>
    <xf numFmtId="0" fontId="0" fillId="4" borderId="7" xfId="0" applyFill="1" applyBorder="1"/>
    <xf numFmtId="0" fontId="0" fillId="5" borderId="7" xfId="0" applyFill="1" applyBorder="1"/>
    <xf numFmtId="0" fontId="0" fillId="6" borderId="7" xfId="0" applyFill="1" applyBorder="1"/>
    <xf numFmtId="0" fontId="0" fillId="7" borderId="7" xfId="0" applyFill="1" applyBorder="1"/>
    <xf numFmtId="0" fontId="0" fillId="8" borderId="7" xfId="0" applyFill="1" applyBorder="1"/>
    <xf numFmtId="0" fontId="0" fillId="9" borderId="7" xfId="0" applyFill="1" applyBorder="1"/>
    <xf numFmtId="0" fontId="0" fillId="10" borderId="7" xfId="0" applyFill="1" applyBorder="1"/>
    <xf numFmtId="0" fontId="0" fillId="11" borderId="7" xfId="0" applyFill="1" applyBorder="1"/>
    <xf numFmtId="0" fontId="0" fillId="12" borderId="7" xfId="0" applyFill="1" applyBorder="1"/>
    <xf numFmtId="0" fontId="0" fillId="13" borderId="7" xfId="0" applyFill="1" applyBorder="1"/>
    <xf numFmtId="0" fontId="5" fillId="3" borderId="1" xfId="0" applyFont="1" applyFill="1" applyBorder="1" applyAlignment="1">
      <alignment horizontal="center"/>
    </xf>
    <xf numFmtId="0" fontId="5" fillId="3" borderId="7" xfId="0" applyFont="1"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0" fillId="13" borderId="1" xfId="0" applyFill="1" applyBorder="1" applyAlignment="1">
      <alignment horizontal="center"/>
    </xf>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0" fillId="11" borderId="1" xfId="0" applyFill="1" applyBorder="1" applyAlignment="1">
      <alignment wrapText="1"/>
    </xf>
    <xf numFmtId="0" fontId="0" fillId="12" borderId="1" xfId="0" applyFill="1" applyBorder="1" applyAlignment="1">
      <alignment wrapText="1"/>
    </xf>
    <xf numFmtId="0" fontId="0" fillId="13" borderId="1" xfId="0" applyFill="1" applyBorder="1" applyAlignment="1">
      <alignment wrapText="1"/>
    </xf>
    <xf numFmtId="0" fontId="1" fillId="4"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10" borderId="1" xfId="0" applyFont="1" applyFill="1" applyBorder="1" applyAlignment="1">
      <alignment wrapText="1"/>
    </xf>
    <xf numFmtId="0" fontId="1" fillId="11" borderId="1" xfId="0" applyFont="1" applyFill="1" applyBorder="1" applyAlignment="1">
      <alignment wrapText="1"/>
    </xf>
    <xf numFmtId="0" fontId="1" fillId="12" borderId="1" xfId="0" applyFont="1" applyFill="1" applyBorder="1" applyAlignment="1">
      <alignment wrapText="1"/>
    </xf>
    <xf numFmtId="0" fontId="1" fillId="13" borderId="1" xfId="0" applyFont="1" applyFill="1" applyBorder="1" applyAlignment="1">
      <alignment wrapText="1"/>
    </xf>
    <xf numFmtId="0" fontId="5" fillId="14" borderId="9" xfId="0" applyFont="1" applyFill="1" applyBorder="1" applyAlignment="1">
      <alignment horizontal="center"/>
    </xf>
    <xf numFmtId="0" fontId="7" fillId="4" borderId="10" xfId="0" applyFont="1" applyFill="1" applyBorder="1"/>
    <xf numFmtId="0" fontId="7" fillId="4" borderId="11" xfId="0" applyFont="1" applyFill="1" applyBorder="1"/>
    <xf numFmtId="0" fontId="7" fillId="5" borderId="11" xfId="0" applyFont="1" applyFill="1" applyBorder="1"/>
    <xf numFmtId="0" fontId="7" fillId="6" borderId="11" xfId="0" applyFont="1" applyFill="1" applyBorder="1"/>
    <xf numFmtId="0" fontId="7" fillId="7" borderId="11" xfId="0" applyFont="1" applyFill="1" applyBorder="1"/>
    <xf numFmtId="0" fontId="7" fillId="8" borderId="11" xfId="0" applyFont="1" applyFill="1" applyBorder="1"/>
    <xf numFmtId="0" fontId="7" fillId="9" borderId="11" xfId="0" applyFont="1" applyFill="1" applyBorder="1"/>
    <xf numFmtId="0" fontId="7" fillId="10" borderId="11" xfId="0" applyFont="1" applyFill="1" applyBorder="1"/>
    <xf numFmtId="0" fontId="7" fillId="11" borderId="11" xfId="0" applyFont="1" applyFill="1" applyBorder="1"/>
    <xf numFmtId="0" fontId="7" fillId="12" borderId="11" xfId="0" applyFont="1" applyFill="1" applyBorder="1"/>
    <xf numFmtId="0" fontId="7" fillId="15" borderId="11" xfId="0" applyFont="1" applyFill="1" applyBorder="1"/>
    <xf numFmtId="0" fontId="7" fillId="4" borderId="12" xfId="0" applyFont="1" applyFill="1" applyBorder="1"/>
    <xf numFmtId="9" fontId="0" fillId="0" borderId="0" xfId="0" applyNumberFormat="1" applyAlignment="1">
      <alignment vertical="center" wrapText="1"/>
    </xf>
    <xf numFmtId="9" fontId="0" fillId="0" borderId="0" xfId="0" applyNumberFormat="1" applyAlignment="1">
      <alignment horizontal="center" vertical="center" wrapText="1"/>
    </xf>
    <xf numFmtId="0" fontId="8" fillId="0" borderId="15" xfId="0" applyFont="1" applyBorder="1" applyAlignment="1">
      <alignment horizontal="right"/>
    </xf>
    <xf numFmtId="0" fontId="9" fillId="0" borderId="16" xfId="0" applyFont="1" applyBorder="1"/>
    <xf numFmtId="0" fontId="0" fillId="0" borderId="15" xfId="0" applyBorder="1"/>
    <xf numFmtId="0" fontId="0" fillId="0" borderId="16" xfId="0" applyBorder="1"/>
    <xf numFmtId="0" fontId="0" fillId="0" borderId="14" xfId="0" applyBorder="1"/>
    <xf numFmtId="0" fontId="0" fillId="0" borderId="13" xfId="0" applyBorder="1"/>
    <xf numFmtId="0" fontId="8" fillId="0" borderId="15" xfId="0" applyFont="1" applyBorder="1" applyAlignment="1">
      <alignment horizontal="center"/>
    </xf>
    <xf numFmtId="0" fontId="8" fillId="0" borderId="16" xfId="0" applyFont="1" applyBorder="1" applyAlignment="1">
      <alignment horizontal="center"/>
    </xf>
    <xf numFmtId="9" fontId="6" fillId="0" borderId="15" xfId="0" applyNumberFormat="1" applyFont="1" applyBorder="1"/>
    <xf numFmtId="0" fontId="6" fillId="0" borderId="15" xfId="0" applyFont="1" applyBorder="1" applyAlignment="1">
      <alignment horizontal="center"/>
    </xf>
    <xf numFmtId="0" fontId="6" fillId="0" borderId="15" xfId="0" applyFont="1" applyBorder="1"/>
    <xf numFmtId="0" fontId="6" fillId="0" borderId="14" xfId="0" applyFont="1" applyBorder="1"/>
    <xf numFmtId="0" fontId="6" fillId="0" borderId="13" xfId="0" applyFont="1" applyBorder="1"/>
    <xf numFmtId="0" fontId="6" fillId="0" borderId="16" xfId="0" applyFont="1" applyBorder="1"/>
    <xf numFmtId="9" fontId="6" fillId="0" borderId="14" xfId="0" applyNumberFormat="1" applyFont="1" applyBorder="1"/>
    <xf numFmtId="0" fontId="6" fillId="0" borderId="14" xfId="0" applyFont="1" applyBorder="1" applyAlignment="1">
      <alignment horizontal="center"/>
    </xf>
    <xf numFmtId="0" fontId="3" fillId="2" borderId="4" xfId="0" applyFont="1" applyFill="1" applyBorder="1"/>
    <xf numFmtId="0" fontId="8" fillId="0" borderId="2" xfId="0" applyFont="1" applyBorder="1" applyAlignment="1">
      <alignment horizontal="center"/>
    </xf>
    <xf numFmtId="0" fontId="6" fillId="0" borderId="1" xfId="0" applyFont="1" applyBorder="1"/>
    <xf numFmtId="9" fontId="6" fillId="0" borderId="1" xfId="0" applyNumberFormat="1" applyFont="1" applyBorder="1"/>
    <xf numFmtId="0" fontId="6" fillId="0" borderId="1" xfId="0" applyFont="1" applyBorder="1" applyAlignment="1">
      <alignment horizontal="center"/>
    </xf>
    <xf numFmtId="0" fontId="6" fillId="0" borderId="2" xfId="0" applyFont="1" applyBorder="1"/>
    <xf numFmtId="9" fontId="6" fillId="0" borderId="2" xfId="0" applyNumberFormat="1" applyFont="1" applyBorder="1"/>
    <xf numFmtId="0" fontId="6" fillId="0" borderId="2" xfId="0" applyFont="1" applyBorder="1" applyAlignment="1">
      <alignment horizontal="center"/>
    </xf>
    <xf numFmtId="9" fontId="0" fillId="0" borderId="15" xfId="0" applyNumberFormat="1" applyBorder="1"/>
    <xf numFmtId="0" fontId="0" fillId="0" borderId="15" xfId="0" applyBorder="1" applyAlignment="1">
      <alignment horizontal="center"/>
    </xf>
    <xf numFmtId="9" fontId="0" fillId="0" borderId="14" xfId="0" applyNumberFormat="1" applyBorder="1"/>
    <xf numFmtId="0" fontId="0" fillId="0" borderId="14" xfId="0" applyBorder="1" applyAlignment="1">
      <alignment horizontal="center"/>
    </xf>
    <xf numFmtId="0" fontId="8" fillId="2" borderId="6" xfId="0" applyFont="1" applyFill="1" applyBorder="1"/>
    <xf numFmtId="9" fontId="6" fillId="0" borderId="8" xfId="0" applyNumberFormat="1" applyFont="1" applyBorder="1"/>
    <xf numFmtId="9" fontId="8" fillId="2" borderId="8" xfId="0" applyNumberFormat="1" applyFont="1" applyFill="1" applyBorder="1"/>
    <xf numFmtId="0" fontId="6" fillId="0" borderId="8" xfId="0" applyFont="1" applyBorder="1" applyAlignment="1">
      <alignment horizontal="center"/>
    </xf>
    <xf numFmtId="0" fontId="8" fillId="2" borderId="8" xfId="0" applyFont="1" applyFill="1" applyBorder="1" applyAlignment="1">
      <alignment horizontal="center"/>
    </xf>
    <xf numFmtId="0" fontId="8" fillId="2" borderId="2" xfId="0" applyFont="1" applyFill="1" applyBorder="1"/>
    <xf numFmtId="9" fontId="6" fillId="0" borderId="7" xfId="0" applyNumberFormat="1" applyFont="1" applyBorder="1"/>
    <xf numFmtId="0" fontId="6" fillId="0" borderId="7" xfId="0" applyFont="1" applyBorder="1" applyAlignment="1">
      <alignment horizontal="center"/>
    </xf>
    <xf numFmtId="0" fontId="10" fillId="0" borderId="1" xfId="0" applyFont="1" applyBorder="1"/>
    <xf numFmtId="0" fontId="0" fillId="2" borderId="0" xfId="0" applyFill="1"/>
    <xf numFmtId="0" fontId="1" fillId="0" borderId="0" xfId="0" applyFont="1" applyAlignment="1">
      <alignment horizontal="center"/>
    </xf>
    <xf numFmtId="9" fontId="0" fillId="0" borderId="0" xfId="0" applyNumberFormat="1"/>
    <xf numFmtId="0" fontId="0" fillId="0" borderId="18" xfId="0" applyBorder="1"/>
    <xf numFmtId="0" fontId="0" fillId="0" borderId="3" xfId="0" applyBorder="1"/>
    <xf numFmtId="0" fontId="0" fillId="0" borderId="6" xfId="0" applyBorder="1"/>
    <xf numFmtId="0" fontId="11" fillId="2" borderId="1" xfId="0" applyFont="1" applyFill="1" applyBorder="1"/>
    <xf numFmtId="0" fontId="0" fillId="0" borderId="0" xfId="0" applyAlignment="1">
      <alignment horizontal="center"/>
    </xf>
    <xf numFmtId="0" fontId="6" fillId="0" borderId="7" xfId="0" applyFont="1" applyBorder="1" applyAlignment="1">
      <alignment horizontal="left"/>
    </xf>
    <xf numFmtId="0" fontId="0" fillId="0" borderId="17" xfId="0" applyBorder="1"/>
    <xf numFmtId="0" fontId="6" fillId="0" borderId="5" xfId="0" applyFont="1" applyBorder="1" applyAlignment="1">
      <alignment horizontal="right"/>
    </xf>
    <xf numFmtId="0" fontId="12" fillId="0" borderId="19" xfId="0" applyFont="1" applyBorder="1"/>
    <xf numFmtId="0" fontId="8" fillId="0" borderId="20" xfId="0" applyFont="1" applyBorder="1" applyAlignment="1">
      <alignment horizontal="center"/>
    </xf>
    <xf numFmtId="0" fontId="8" fillId="0" borderId="5" xfId="0" applyFont="1" applyBorder="1" applyAlignment="1">
      <alignment horizontal="center"/>
    </xf>
    <xf numFmtId="0" fontId="3" fillId="2" borderId="0" xfId="0" applyFont="1" applyFill="1"/>
    <xf numFmtId="0" fontId="3" fillId="0" borderId="1" xfId="0" applyFont="1" applyBorder="1"/>
    <xf numFmtId="0" fontId="0" fillId="0" borderId="1" xfId="0" applyBorder="1" applyAlignment="1">
      <alignment vertical="top" wrapText="1"/>
    </xf>
    <xf numFmtId="0" fontId="8" fillId="0" borderId="1" xfId="0" applyFont="1" applyBorder="1"/>
    <xf numFmtId="0" fontId="0" fillId="0" borderId="4" xfId="0" applyBorder="1"/>
    <xf numFmtId="0" fontId="13" fillId="0" borderId="0" xfId="0" applyFont="1"/>
    <xf numFmtId="0" fontId="26" fillId="17" borderId="0" xfId="0" applyFont="1" applyFill="1" applyAlignment="1">
      <alignment horizontal="center"/>
    </xf>
    <xf numFmtId="0" fontId="26" fillId="18" borderId="0" xfId="0" applyFont="1" applyFill="1" applyAlignment="1">
      <alignment horizontal="center"/>
    </xf>
    <xf numFmtId="0" fontId="26" fillId="20" borderId="0" xfId="0" applyFont="1" applyFill="1" applyAlignment="1">
      <alignment horizontal="center"/>
    </xf>
    <xf numFmtId="0" fontId="26" fillId="22" borderId="0" xfId="0" applyFont="1" applyFill="1" applyAlignment="1">
      <alignment horizontal="center"/>
    </xf>
    <xf numFmtId="0" fontId="13" fillId="0" borderId="0" xfId="0" applyFont="1" applyAlignment="1">
      <alignment horizontal="center"/>
    </xf>
    <xf numFmtId="2" fontId="28" fillId="23" borderId="23" xfId="0" applyNumberFormat="1" applyFont="1" applyFill="1" applyBorder="1" applyAlignment="1">
      <alignment horizontal="center"/>
    </xf>
    <xf numFmtId="0" fontId="28" fillId="23" borderId="25" xfId="0" applyFont="1" applyFill="1" applyBorder="1" applyAlignment="1">
      <alignment horizontal="center"/>
    </xf>
    <xf numFmtId="0" fontId="29" fillId="24" borderId="25" xfId="0" applyFont="1" applyFill="1" applyBorder="1" applyAlignment="1">
      <alignment horizontal="center"/>
    </xf>
    <xf numFmtId="0" fontId="30" fillId="21" borderId="25" xfId="0" applyFont="1" applyFill="1" applyBorder="1" applyAlignment="1">
      <alignment horizontal="center"/>
    </xf>
    <xf numFmtId="0" fontId="31" fillId="25" borderId="25" xfId="0" applyFont="1" applyFill="1" applyBorder="1" applyAlignment="1">
      <alignment horizontal="center"/>
    </xf>
    <xf numFmtId="0" fontId="26" fillId="26" borderId="26" xfId="0" applyFont="1" applyFill="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0" fontId="13" fillId="16" borderId="0" xfId="0" applyFont="1" applyFill="1"/>
    <xf numFmtId="0" fontId="37" fillId="0" borderId="0" xfId="0" applyFont="1" applyAlignment="1">
      <alignment horizontal="center"/>
    </xf>
    <xf numFmtId="0" fontId="13" fillId="32" borderId="0" xfId="0" applyFont="1" applyFill="1"/>
    <xf numFmtId="0" fontId="40" fillId="2" borderId="24" xfId="0" applyFont="1" applyFill="1" applyBorder="1" applyAlignment="1">
      <alignment horizontal="center"/>
    </xf>
    <xf numFmtId="0" fontId="40" fillId="2" borderId="22" xfId="0" applyFont="1" applyFill="1" applyBorder="1"/>
    <xf numFmtId="0" fontId="40" fillId="2" borderId="22" xfId="0" applyFont="1" applyFill="1" applyBorder="1" applyAlignment="1">
      <alignment horizontal="center"/>
    </xf>
    <xf numFmtId="0" fontId="40" fillId="25" borderId="22" xfId="0" applyFont="1" applyFill="1" applyBorder="1" applyAlignment="1">
      <alignment horizontal="center"/>
    </xf>
    <xf numFmtId="0" fontId="40" fillId="21" borderId="22" xfId="0" applyFont="1" applyFill="1" applyBorder="1" applyAlignment="1">
      <alignment horizontal="center"/>
    </xf>
    <xf numFmtId="0" fontId="40" fillId="23" borderId="27" xfId="0" applyFont="1" applyFill="1" applyBorder="1" applyAlignment="1">
      <alignment horizontal="center"/>
    </xf>
    <xf numFmtId="0" fontId="41" fillId="0" borderId="25" xfId="0" applyFont="1" applyBorder="1" applyAlignment="1">
      <alignment horizontal="center"/>
    </xf>
    <xf numFmtId="0" fontId="13" fillId="0" borderId="21" xfId="0" applyFont="1" applyBorder="1"/>
    <xf numFmtId="9" fontId="40" fillId="0" borderId="21" xfId="0" applyNumberFormat="1" applyFont="1" applyBorder="1" applyAlignment="1">
      <alignment horizontal="center"/>
    </xf>
    <xf numFmtId="0" fontId="13" fillId="0" borderId="21" xfId="0" applyFont="1" applyBorder="1" applyAlignment="1">
      <alignment wrapText="1"/>
    </xf>
    <xf numFmtId="0" fontId="13" fillId="0" borderId="28" xfId="0" applyFont="1" applyBorder="1" applyAlignment="1">
      <alignment wrapText="1"/>
    </xf>
    <xf numFmtId="0" fontId="41" fillId="0" borderId="26" xfId="0" applyFont="1" applyBorder="1" applyAlignment="1">
      <alignment horizontal="center"/>
    </xf>
    <xf numFmtId="0" fontId="13" fillId="0" borderId="23" xfId="0" applyFont="1" applyBorder="1"/>
    <xf numFmtId="9" fontId="40" fillId="0" borderId="23" xfId="0" applyNumberFormat="1" applyFont="1" applyBorder="1" applyAlignment="1">
      <alignment horizontal="center"/>
    </xf>
    <xf numFmtId="0" fontId="13" fillId="0" borderId="23" xfId="0" applyFont="1" applyBorder="1" applyAlignment="1">
      <alignment wrapText="1"/>
    </xf>
    <xf numFmtId="0" fontId="13" fillId="0" borderId="29" xfId="0" applyFont="1" applyBorder="1" applyAlignment="1">
      <alignment wrapText="1"/>
    </xf>
    <xf numFmtId="0" fontId="40" fillId="2" borderId="24" xfId="0" applyFont="1" applyFill="1" applyBorder="1"/>
    <xf numFmtId="0" fontId="40" fillId="2" borderId="27" xfId="0" applyFont="1" applyFill="1" applyBorder="1" applyAlignment="1">
      <alignment horizontal="center"/>
    </xf>
    <xf numFmtId="0" fontId="13" fillId="0" borderId="25" xfId="0" applyFont="1" applyBorder="1"/>
    <xf numFmtId="9" fontId="13" fillId="0" borderId="21" xfId="0" applyNumberFormat="1" applyFont="1" applyBorder="1" applyAlignment="1">
      <alignment horizontal="center"/>
    </xf>
    <xf numFmtId="0" fontId="27" fillId="0" borderId="21" xfId="0" applyFont="1" applyBorder="1" applyAlignment="1">
      <alignment horizontal="center"/>
    </xf>
    <xf numFmtId="2" fontId="13" fillId="0" borderId="21" xfId="0" applyNumberFormat="1" applyFont="1" applyBorder="1" applyAlignment="1">
      <alignment horizontal="center"/>
    </xf>
    <xf numFmtId="0" fontId="42" fillId="0" borderId="21" xfId="0" applyFont="1" applyBorder="1" applyAlignment="1">
      <alignment horizontal="center"/>
    </xf>
    <xf numFmtId="2" fontId="13" fillId="0" borderId="28" xfId="0" applyNumberFormat="1" applyFont="1" applyBorder="1" applyAlignment="1">
      <alignment horizontal="center"/>
    </xf>
    <xf numFmtId="0" fontId="43" fillId="0" borderId="21" xfId="0" applyFont="1" applyBorder="1" applyAlignment="1">
      <alignment horizontal="center"/>
    </xf>
    <xf numFmtId="0" fontId="40" fillId="2" borderId="26" xfId="0" applyFont="1" applyFill="1" applyBorder="1"/>
    <xf numFmtId="9" fontId="40" fillId="2" borderId="23" xfId="0" applyNumberFormat="1" applyFont="1" applyFill="1" applyBorder="1" applyAlignment="1">
      <alignment horizontal="center"/>
    </xf>
    <xf numFmtId="0" fontId="13" fillId="2" borderId="23" xfId="0" applyFont="1" applyFill="1" applyBorder="1"/>
    <xf numFmtId="2" fontId="34" fillId="25" borderId="29" xfId="0" applyNumberFormat="1" applyFont="1" applyFill="1" applyBorder="1" applyAlignment="1">
      <alignment horizontal="center"/>
    </xf>
    <xf numFmtId="0" fontId="13" fillId="19" borderId="0" xfId="0" applyFont="1" applyFill="1"/>
    <xf numFmtId="0" fontId="40" fillId="19" borderId="24" xfId="0" applyFont="1" applyFill="1" applyBorder="1" applyAlignment="1">
      <alignment horizontal="center"/>
    </xf>
    <xf numFmtId="0" fontId="40" fillId="19" borderId="22" xfId="0" applyFont="1" applyFill="1" applyBorder="1" applyAlignment="1">
      <alignment horizontal="center"/>
    </xf>
    <xf numFmtId="0" fontId="40" fillId="19" borderId="27" xfId="0" applyFont="1" applyFill="1" applyBorder="1" applyAlignment="1">
      <alignment horizontal="center"/>
    </xf>
    <xf numFmtId="0" fontId="41" fillId="0" borderId="25" xfId="0" applyFont="1" applyBorder="1"/>
    <xf numFmtId="0" fontId="13" fillId="0" borderId="28" xfId="0" applyFont="1" applyBorder="1"/>
    <xf numFmtId="0" fontId="46" fillId="0" borderId="25" xfId="0" applyFont="1" applyBorder="1"/>
    <xf numFmtId="0" fontId="37" fillId="0" borderId="25" xfId="0" applyFont="1" applyBorder="1"/>
    <xf numFmtId="0" fontId="34" fillId="0" borderId="25" xfId="0" applyFont="1" applyBorder="1"/>
    <xf numFmtId="0" fontId="47" fillId="0" borderId="26" xfId="0" applyFont="1" applyBorder="1"/>
    <xf numFmtId="0" fontId="13" fillId="0" borderId="29" xfId="0" applyFont="1" applyBorder="1"/>
    <xf numFmtId="0" fontId="40" fillId="32" borderId="24" xfId="0" applyFont="1" applyFill="1" applyBorder="1"/>
    <xf numFmtId="0" fontId="40" fillId="32" borderId="22" xfId="0" applyFont="1" applyFill="1" applyBorder="1"/>
    <xf numFmtId="0" fontId="40" fillId="32" borderId="27" xfId="0" applyFont="1" applyFill="1" applyBorder="1"/>
    <xf numFmtId="0" fontId="40" fillId="19" borderId="24" xfId="0" applyFont="1" applyFill="1" applyBorder="1"/>
    <xf numFmtId="0" fontId="40" fillId="19" borderId="22" xfId="0" applyFont="1" applyFill="1" applyBorder="1"/>
    <xf numFmtId="0" fontId="28" fillId="0" borderId="21" xfId="0" applyFont="1" applyBorder="1" applyAlignment="1">
      <alignment horizontal="center"/>
    </xf>
    <xf numFmtId="0" fontId="37" fillId="0" borderId="21" xfId="0" applyFont="1" applyBorder="1" applyAlignment="1">
      <alignment horizontal="center"/>
    </xf>
    <xf numFmtId="0" fontId="28" fillId="0" borderId="28" xfId="0" applyFont="1" applyBorder="1" applyAlignment="1">
      <alignment horizontal="center"/>
    </xf>
    <xf numFmtId="0" fontId="34" fillId="0" borderId="21" xfId="0" applyFont="1" applyBorder="1" applyAlignment="1">
      <alignment horizontal="center"/>
    </xf>
    <xf numFmtId="0" fontId="40" fillId="19" borderId="26" xfId="0" applyFont="1" applyFill="1" applyBorder="1"/>
    <xf numFmtId="9" fontId="40" fillId="19" borderId="23" xfId="0" applyNumberFormat="1" applyFont="1" applyFill="1" applyBorder="1" applyAlignment="1">
      <alignment horizontal="center"/>
    </xf>
    <xf numFmtId="0" fontId="28" fillId="23" borderId="23" xfId="0" applyFont="1" applyFill="1" applyBorder="1" applyAlignment="1">
      <alignment horizontal="center"/>
    </xf>
    <xf numFmtId="0" fontId="13" fillId="19" borderId="23" xfId="0" applyFont="1" applyFill="1" applyBorder="1"/>
    <xf numFmtId="0" fontId="34" fillId="25" borderId="23" xfId="0" applyFont="1" applyFill="1" applyBorder="1" applyAlignment="1">
      <alignment horizontal="center"/>
    </xf>
    <xf numFmtId="0" fontId="28" fillId="23" borderId="29" xfId="0" applyFont="1" applyFill="1" applyBorder="1" applyAlignment="1">
      <alignment horizontal="center"/>
    </xf>
    <xf numFmtId="0" fontId="13" fillId="21" borderId="0" xfId="0" applyFont="1" applyFill="1"/>
    <xf numFmtId="0" fontId="40" fillId="21" borderId="24" xfId="0" applyFont="1" applyFill="1" applyBorder="1"/>
    <xf numFmtId="0" fontId="40" fillId="21" borderId="27" xfId="0" applyFont="1" applyFill="1" applyBorder="1" applyAlignment="1">
      <alignment horizontal="center"/>
    </xf>
    <xf numFmtId="2" fontId="40" fillId="0" borderId="21" xfId="0" applyNumberFormat="1" applyFont="1" applyBorder="1" applyAlignment="1">
      <alignment horizontal="center"/>
    </xf>
    <xf numFmtId="0" fontId="13" fillId="0" borderId="21" xfId="0" applyFont="1" applyBorder="1" applyAlignment="1">
      <alignment horizontal="center"/>
    </xf>
    <xf numFmtId="0" fontId="40" fillId="21" borderId="26" xfId="0" applyFont="1" applyFill="1" applyBorder="1"/>
    <xf numFmtId="0" fontId="13" fillId="21" borderId="23" xfId="0" applyFont="1" applyFill="1" applyBorder="1"/>
    <xf numFmtId="0" fontId="28" fillId="21" borderId="29" xfId="0" quotePrefix="1" applyFont="1" applyFill="1" applyBorder="1"/>
    <xf numFmtId="0" fontId="40" fillId="32" borderId="24" xfId="0" applyFont="1" applyFill="1" applyBorder="1" applyAlignment="1">
      <alignment horizontal="center"/>
    </xf>
    <xf numFmtId="0" fontId="40" fillId="32" borderId="22" xfId="0" applyFont="1" applyFill="1" applyBorder="1" applyAlignment="1">
      <alignment horizontal="center"/>
    </xf>
    <xf numFmtId="0" fontId="40" fillId="32" borderId="27" xfId="0" applyFont="1" applyFill="1" applyBorder="1" applyAlignment="1">
      <alignment horizontal="center"/>
    </xf>
    <xf numFmtId="0" fontId="40" fillId="23" borderId="21" xfId="0" applyFont="1" applyFill="1" applyBorder="1" applyAlignment="1">
      <alignment horizontal="center"/>
    </xf>
    <xf numFmtId="0" fontId="28" fillId="23" borderId="21" xfId="0" applyFont="1" applyFill="1" applyBorder="1" applyAlignment="1">
      <alignment horizontal="center"/>
    </xf>
    <xf numFmtId="0" fontId="40" fillId="24" borderId="21" xfId="0" applyFont="1" applyFill="1" applyBorder="1" applyAlignment="1">
      <alignment horizontal="center"/>
    </xf>
    <xf numFmtId="0" fontId="29" fillId="24" borderId="21" xfId="0" applyFont="1" applyFill="1" applyBorder="1" applyAlignment="1">
      <alignment horizontal="center"/>
    </xf>
    <xf numFmtId="0" fontId="40" fillId="21" borderId="21" xfId="0" applyFont="1" applyFill="1" applyBorder="1" applyAlignment="1">
      <alignment horizontal="center"/>
    </xf>
    <xf numFmtId="0" fontId="30" fillId="21" borderId="21" xfId="0" applyFont="1" applyFill="1" applyBorder="1" applyAlignment="1">
      <alignment horizontal="center"/>
    </xf>
    <xf numFmtId="0" fontId="40" fillId="25" borderId="21" xfId="0" applyFont="1" applyFill="1" applyBorder="1" applyAlignment="1">
      <alignment horizontal="center"/>
    </xf>
    <xf numFmtId="0" fontId="31" fillId="25" borderId="21" xfId="0" applyFont="1" applyFill="1" applyBorder="1" applyAlignment="1">
      <alignment horizontal="center"/>
    </xf>
    <xf numFmtId="0" fontId="26" fillId="26" borderId="23" xfId="0" applyFont="1" applyFill="1" applyBorder="1" applyAlignment="1">
      <alignment horizontal="center"/>
    </xf>
    <xf numFmtId="0" fontId="13" fillId="7" borderId="0" xfId="0" applyFont="1" applyFill="1"/>
    <xf numFmtId="0" fontId="37" fillId="0" borderId="26" xfId="0" applyFont="1" applyBorder="1"/>
    <xf numFmtId="0" fontId="13" fillId="0" borderId="21" xfId="0" applyFont="1" applyBorder="1" applyAlignment="1">
      <alignment horizontal="center" wrapText="1"/>
    </xf>
    <xf numFmtId="0" fontId="13" fillId="0" borderId="23" xfId="0" applyFont="1" applyBorder="1" applyAlignment="1">
      <alignment horizontal="center" wrapText="1"/>
    </xf>
    <xf numFmtId="9" fontId="0" fillId="0" borderId="0" xfId="0" applyNumberFormat="1" applyAlignment="1">
      <alignment horizontal="center"/>
    </xf>
    <xf numFmtId="0" fontId="0" fillId="33" borderId="0" xfId="0" applyFill="1"/>
    <xf numFmtId="0" fontId="10" fillId="0" borderId="0" xfId="0" applyFont="1"/>
    <xf numFmtId="0" fontId="14" fillId="0" borderId="0" xfId="0" applyFont="1"/>
    <xf numFmtId="0" fontId="16" fillId="17" borderId="0" xfId="0" applyFont="1" applyFill="1"/>
    <xf numFmtId="0" fontId="0" fillId="17" borderId="0" xfId="0" applyFill="1"/>
    <xf numFmtId="0" fontId="17" fillId="0" borderId="0" xfId="0" applyFont="1"/>
    <xf numFmtId="0" fontId="1" fillId="2" borderId="0" xfId="0" applyFont="1" applyFill="1" applyAlignment="1">
      <alignment horizontal="center"/>
    </xf>
    <xf numFmtId="0" fontId="1" fillId="2" borderId="0" xfId="0" applyFont="1" applyFill="1"/>
    <xf numFmtId="0" fontId="1" fillId="0" borderId="0" xfId="0" applyFont="1"/>
    <xf numFmtId="9" fontId="1" fillId="0" borderId="0" xfId="0" applyNumberFormat="1" applyFont="1" applyAlignment="1">
      <alignment horizontal="center"/>
    </xf>
    <xf numFmtId="0" fontId="19" fillId="0" borderId="0" xfId="0" applyFont="1"/>
    <xf numFmtId="0" fontId="18" fillId="0" borderId="0" xfId="0" quotePrefix="1" applyFont="1"/>
    <xf numFmtId="0" fontId="16" fillId="18" borderId="0" xfId="0" applyFont="1" applyFill="1"/>
    <xf numFmtId="0" fontId="0" fillId="18" borderId="0" xfId="0" applyFill="1"/>
    <xf numFmtId="0" fontId="20" fillId="19" borderId="0" xfId="0" applyFont="1" applyFill="1" applyAlignment="1">
      <alignment horizontal="center"/>
    </xf>
    <xf numFmtId="0" fontId="1" fillId="19" borderId="0" xfId="0" applyFont="1" applyFill="1"/>
    <xf numFmtId="0" fontId="1" fillId="19" borderId="0" xfId="0" applyFont="1" applyFill="1" applyAlignment="1">
      <alignment horizontal="center"/>
    </xf>
    <xf numFmtId="0" fontId="16" fillId="20" borderId="0" xfId="0" applyFont="1" applyFill="1"/>
    <xf numFmtId="0" fontId="0" fillId="20" borderId="0" xfId="0" applyFill="1"/>
    <xf numFmtId="0" fontId="1" fillId="21" borderId="0" xfId="0" applyFont="1" applyFill="1" applyAlignment="1">
      <alignment horizontal="center"/>
    </xf>
    <xf numFmtId="0" fontId="1" fillId="21" borderId="0" xfId="0" applyFont="1" applyFill="1"/>
    <xf numFmtId="0" fontId="16" fillId="22" borderId="0" xfId="0" applyFont="1" applyFill="1"/>
    <xf numFmtId="0" fontId="0" fillId="22" borderId="0" xfId="0" applyFill="1"/>
    <xf numFmtId="0" fontId="1" fillId="7" borderId="0" xfId="0" applyFont="1" applyFill="1" applyAlignment="1">
      <alignment horizontal="center"/>
    </xf>
    <xf numFmtId="0" fontId="21" fillId="23" borderId="0" xfId="0" applyFont="1" applyFill="1" applyAlignment="1">
      <alignment horizontal="center"/>
    </xf>
    <xf numFmtId="0" fontId="0" fillId="23" borderId="0" xfId="0" applyFill="1" applyAlignment="1">
      <alignment horizontal="center"/>
    </xf>
    <xf numFmtId="0" fontId="1" fillId="23" borderId="0" xfId="0" applyFont="1" applyFill="1" applyAlignment="1">
      <alignment horizontal="center"/>
    </xf>
    <xf numFmtId="0" fontId="22" fillId="24" borderId="0" xfId="0" applyFont="1" applyFill="1" applyAlignment="1">
      <alignment horizontal="center"/>
    </xf>
    <xf numFmtId="0" fontId="0" fillId="24" borderId="0" xfId="0" applyFill="1" applyAlignment="1">
      <alignment horizontal="center"/>
    </xf>
    <xf numFmtId="0" fontId="1" fillId="24" borderId="0" xfId="0" applyFont="1" applyFill="1" applyAlignment="1">
      <alignment horizontal="center"/>
    </xf>
    <xf numFmtId="0" fontId="23" fillId="21" borderId="0" xfId="0" applyFont="1" applyFill="1" applyAlignment="1">
      <alignment horizontal="center"/>
    </xf>
    <xf numFmtId="0" fontId="0" fillId="21" borderId="0" xfId="0" applyFill="1" applyAlignment="1">
      <alignment horizontal="center"/>
    </xf>
    <xf numFmtId="0" fontId="24" fillId="25" borderId="0" xfId="0" applyFont="1" applyFill="1" applyAlignment="1">
      <alignment horizontal="center"/>
    </xf>
    <xf numFmtId="0" fontId="0" fillId="25" borderId="0" xfId="0" applyFill="1" applyAlignment="1">
      <alignment horizontal="center"/>
    </xf>
    <xf numFmtId="0" fontId="1" fillId="25" borderId="0" xfId="0" applyFont="1" applyFill="1" applyAlignment="1">
      <alignment horizontal="center"/>
    </xf>
    <xf numFmtId="0" fontId="25" fillId="26" borderId="0" xfId="0" applyFont="1" applyFill="1" applyAlignment="1">
      <alignment horizontal="center"/>
    </xf>
    <xf numFmtId="0" fontId="15" fillId="26" borderId="0" xfId="0" applyFont="1" applyFill="1" applyAlignment="1">
      <alignment horizontal="center"/>
    </xf>
    <xf numFmtId="0" fontId="16" fillId="27" borderId="0" xfId="0" applyFont="1" applyFill="1"/>
    <xf numFmtId="0" fontId="0" fillId="27" borderId="0" xfId="0" applyFill="1"/>
    <xf numFmtId="0" fontId="1" fillId="28" borderId="0" xfId="0" applyFont="1" applyFill="1" applyAlignment="1">
      <alignment horizontal="center"/>
    </xf>
    <xf numFmtId="0" fontId="16" fillId="29" borderId="0" xfId="0" applyFont="1" applyFill="1"/>
    <xf numFmtId="0" fontId="0" fillId="29" borderId="0" xfId="0" applyFill="1"/>
    <xf numFmtId="0" fontId="0" fillId="0" borderId="0" xfId="0" applyAlignment="1">
      <alignment horizontal="left"/>
    </xf>
    <xf numFmtId="0" fontId="50" fillId="0" borderId="0" xfId="0" applyFont="1" applyAlignment="1">
      <alignment vertical="top" wrapText="1"/>
    </xf>
    <xf numFmtId="0" fontId="51" fillId="0" borderId="0" xfId="0" applyFont="1" applyAlignment="1">
      <alignment vertical="top" wrapText="1"/>
    </xf>
    <xf numFmtId="0" fontId="52" fillId="0" borderId="0" xfId="0" applyFont="1" applyAlignment="1">
      <alignment vertical="top" wrapText="1"/>
    </xf>
    <xf numFmtId="0" fontId="53" fillId="0" borderId="0" xfId="0" applyFont="1" applyAlignment="1">
      <alignment vertical="top" wrapText="1"/>
    </xf>
    <xf numFmtId="0" fontId="54" fillId="0" borderId="0" xfId="0" applyFont="1" applyAlignment="1">
      <alignment vertical="top" wrapText="1"/>
    </xf>
    <xf numFmtId="0" fontId="26" fillId="3" borderId="0" xfId="0" applyFont="1" applyFill="1"/>
    <xf numFmtId="0" fontId="13" fillId="0" borderId="0" xfId="0" applyFont="1"/>
    <xf numFmtId="0" fontId="28" fillId="0" borderId="0" xfId="0" applyFont="1" applyAlignment="1">
      <alignment horizontal="center"/>
    </xf>
    <xf numFmtId="0" fontId="44" fillId="19" borderId="0" xfId="0" applyFont="1" applyFill="1"/>
    <xf numFmtId="0" fontId="36" fillId="0" borderId="0" xfId="0" applyFont="1" applyAlignment="1">
      <alignment horizontal="center"/>
    </xf>
    <xf numFmtId="0" fontId="34" fillId="0" borderId="0" xfId="0" applyFont="1"/>
    <xf numFmtId="0" fontId="34" fillId="0" borderId="43" xfId="0" applyFont="1" applyBorder="1" applyAlignment="1">
      <alignment horizontal="center"/>
    </xf>
    <xf numFmtId="0" fontId="0" fillId="0" borderId="35" xfId="0" applyBorder="1"/>
    <xf numFmtId="0" fontId="0" fillId="0" borderId="37" xfId="0" applyBorder="1"/>
    <xf numFmtId="0" fontId="37" fillId="0" borderId="40" xfId="0" applyFont="1" applyBorder="1" applyAlignment="1">
      <alignment horizontal="center"/>
    </xf>
    <xf numFmtId="0" fontId="0" fillId="0" borderId="33" xfId="0" applyBorder="1"/>
    <xf numFmtId="0" fontId="33" fillId="0" borderId="0" xfId="0" applyFont="1"/>
    <xf numFmtId="0" fontId="38" fillId="0" borderId="0" xfId="0" applyFont="1"/>
    <xf numFmtId="0" fontId="26" fillId="20" borderId="39" xfId="0" applyFont="1" applyFill="1" applyBorder="1" applyAlignment="1">
      <alignment horizontal="center"/>
    </xf>
    <xf numFmtId="0" fontId="0" fillId="0" borderId="30" xfId="0" applyBorder="1"/>
    <xf numFmtId="0" fontId="0" fillId="0" borderId="32" xfId="0" applyBorder="1"/>
    <xf numFmtId="0" fontId="48" fillId="21" borderId="0" xfId="0" applyFont="1" applyFill="1"/>
    <xf numFmtId="0" fontId="26" fillId="20" borderId="0" xfId="0" applyFont="1" applyFill="1"/>
    <xf numFmtId="0" fontId="38" fillId="0" borderId="42" xfId="0" applyFont="1" applyBorder="1" applyAlignment="1">
      <alignment horizontal="center"/>
    </xf>
    <xf numFmtId="0" fontId="0" fillId="0" borderId="36" xfId="0" applyBorder="1"/>
    <xf numFmtId="0" fontId="0" fillId="0" borderId="38" xfId="0" applyBorder="1"/>
    <xf numFmtId="0" fontId="49" fillId="7" borderId="0" xfId="0" applyFont="1" applyFill="1"/>
    <xf numFmtId="0" fontId="26" fillId="31" borderId="0" xfId="0" applyFont="1" applyFill="1" applyAlignment="1">
      <alignment horizontal="center"/>
    </xf>
    <xf numFmtId="0" fontId="38" fillId="0" borderId="41" xfId="0" applyFont="1" applyBorder="1" applyAlignment="1">
      <alignment horizontal="center"/>
    </xf>
    <xf numFmtId="0" fontId="0" fillId="0" borderId="31" xfId="0" applyBorder="1"/>
    <xf numFmtId="0" fontId="0" fillId="0" borderId="34" xfId="0" applyBorder="1"/>
    <xf numFmtId="0" fontId="26" fillId="22" borderId="0" xfId="0" applyFont="1" applyFill="1"/>
    <xf numFmtId="0" fontId="35" fillId="0" borderId="0" xfId="0" applyFont="1" applyAlignment="1">
      <alignment horizontal="center"/>
    </xf>
    <xf numFmtId="0" fontId="26" fillId="17" borderId="0" xfId="0" applyFont="1" applyFill="1"/>
    <xf numFmtId="0" fontId="26" fillId="17" borderId="0" xfId="0" applyFont="1" applyFill="1" applyAlignment="1">
      <alignment horizontal="center"/>
    </xf>
    <xf numFmtId="0" fontId="26" fillId="18" borderId="0" xfId="0" applyFont="1" applyFill="1" applyAlignment="1">
      <alignment horizontal="center"/>
    </xf>
    <xf numFmtId="0" fontId="26" fillId="3" borderId="0" xfId="0" applyFont="1" applyFill="1" applyAlignment="1">
      <alignment horizontal="center"/>
    </xf>
    <xf numFmtId="0" fontId="26" fillId="18" borderId="0" xfId="0" applyFont="1" applyFill="1"/>
    <xf numFmtId="0" fontId="26" fillId="30" borderId="0" xfId="0" applyFont="1" applyFill="1" applyAlignment="1">
      <alignment horizontal="center"/>
    </xf>
    <xf numFmtId="0" fontId="39" fillId="32" borderId="0" xfId="0" applyFont="1" applyFill="1"/>
    <xf numFmtId="0" fontId="32" fillId="30" borderId="0" xfId="0" applyFont="1" applyFill="1" applyAlignment="1">
      <alignment horizontal="center"/>
    </xf>
    <xf numFmtId="0" fontId="45" fillId="0" borderId="0" xfId="0" applyFont="1"/>
    <xf numFmtId="0" fontId="3" fillId="2" borderId="1" xfId="0" applyFont="1" applyFill="1" applyBorder="1" applyAlignment="1">
      <alignment horizontal="center"/>
    </xf>
    <xf numFmtId="0" fontId="0" fillId="0" borderId="44" xfId="0" applyBorder="1"/>
    <xf numFmtId="0" fontId="0" fillId="0" borderId="4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DDACFC-928D-428A-95F7-0509B00FA113}">
  <we:reference id="WA200009404" version="1.0.0.8" store="Omex" storeType="OMEX"/>
  <we:alternateReferences>
    <we:reference id="WA200009404" version="1.0.0.8" store="WA200009404" storeType="OMEX"/>
  </we:alternateReferences>
  <we:properties>
    <we:property name="claude.fileId" value="&quot;c9eb698a-7e3d-4404-addd-f7d5168ebd1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87"/>
  <sheetViews>
    <sheetView showGridLines="0" tabSelected="1" topLeftCell="A11" zoomScale="150" workbookViewId="0">
      <selection activeCell="B13" sqref="B13"/>
    </sheetView>
  </sheetViews>
  <sheetFormatPr baseColWidth="10" defaultColWidth="8.83203125" defaultRowHeight="15" x14ac:dyDescent="0.2"/>
  <cols>
    <col min="2" max="2" width="130" customWidth="1"/>
  </cols>
  <sheetData>
    <row r="2" spans="2:2" ht="18" x14ac:dyDescent="0.2">
      <c r="B2" s="280" t="s">
        <v>4</v>
      </c>
    </row>
    <row r="3" spans="2:2" ht="30" x14ac:dyDescent="0.2">
      <c r="B3" s="281" t="s">
        <v>5</v>
      </c>
    </row>
    <row r="4" spans="2:2" x14ac:dyDescent="0.2">
      <c r="B4" s="281"/>
    </row>
    <row r="5" spans="2:2" ht="16" x14ac:dyDescent="0.2">
      <c r="B5" s="282" t="s">
        <v>6</v>
      </c>
    </row>
    <row r="6" spans="2:2" x14ac:dyDescent="0.2">
      <c r="B6" s="281" t="s">
        <v>7</v>
      </c>
    </row>
    <row r="7" spans="2:2" x14ac:dyDescent="0.2">
      <c r="B7" s="281" t="s">
        <v>8</v>
      </c>
    </row>
    <row r="8" spans="2:2" ht="30" x14ac:dyDescent="0.2">
      <c r="B8" s="281" t="s">
        <v>9</v>
      </c>
    </row>
    <row r="9" spans="2:2" x14ac:dyDescent="0.2">
      <c r="B9" s="281" t="s">
        <v>10</v>
      </c>
    </row>
    <row r="10" spans="2:2" x14ac:dyDescent="0.2">
      <c r="B10" s="281"/>
    </row>
    <row r="11" spans="2:2" ht="16" x14ac:dyDescent="0.2">
      <c r="B11" s="282" t="s">
        <v>11</v>
      </c>
    </row>
    <row r="12" spans="2:2" x14ac:dyDescent="0.2">
      <c r="B12" s="283" t="s">
        <v>12</v>
      </c>
    </row>
    <row r="13" spans="2:2" ht="30" x14ac:dyDescent="0.2">
      <c r="B13" s="281" t="s">
        <v>13</v>
      </c>
    </row>
    <row r="14" spans="2:2" ht="30" x14ac:dyDescent="0.2">
      <c r="B14" s="281" t="s">
        <v>14</v>
      </c>
    </row>
    <row r="15" spans="2:2" ht="30" x14ac:dyDescent="0.2">
      <c r="B15" s="281" t="s">
        <v>15</v>
      </c>
    </row>
    <row r="16" spans="2:2" x14ac:dyDescent="0.2">
      <c r="B16" s="283" t="s">
        <v>16</v>
      </c>
    </row>
    <row r="17" spans="2:2" x14ac:dyDescent="0.2">
      <c r="B17" s="281" t="s">
        <v>17</v>
      </c>
    </row>
    <row r="18" spans="2:2" x14ac:dyDescent="0.2">
      <c r="B18" s="281" t="s">
        <v>18</v>
      </c>
    </row>
    <row r="19" spans="2:2" x14ac:dyDescent="0.2">
      <c r="B19" s="283" t="s">
        <v>19</v>
      </c>
    </row>
    <row r="20" spans="2:2" ht="30" x14ac:dyDescent="0.2">
      <c r="B20" s="281" t="s">
        <v>20</v>
      </c>
    </row>
    <row r="21" spans="2:2" x14ac:dyDescent="0.2">
      <c r="B21" s="281"/>
    </row>
    <row r="22" spans="2:2" ht="16" x14ac:dyDescent="0.2">
      <c r="B22" s="282" t="s">
        <v>21</v>
      </c>
    </row>
    <row r="23" spans="2:2" ht="30" x14ac:dyDescent="0.2">
      <c r="B23" s="284" t="s">
        <v>22</v>
      </c>
    </row>
    <row r="24" spans="2:2" x14ac:dyDescent="0.2">
      <c r="B24" s="281"/>
    </row>
    <row r="25" spans="2:2" x14ac:dyDescent="0.2">
      <c r="B25" s="283" t="s">
        <v>23</v>
      </c>
    </row>
    <row r="26" spans="2:2" ht="30" x14ac:dyDescent="0.2">
      <c r="B26" s="281" t="s">
        <v>24</v>
      </c>
    </row>
    <row r="27" spans="2:2" x14ac:dyDescent="0.2">
      <c r="B27" s="283" t="s">
        <v>25</v>
      </c>
    </row>
    <row r="28" spans="2:2" ht="30" x14ac:dyDescent="0.2">
      <c r="B28" s="281" t="s">
        <v>26</v>
      </c>
    </row>
    <row r="29" spans="2:2" ht="30" x14ac:dyDescent="0.2">
      <c r="B29" s="281" t="s">
        <v>27</v>
      </c>
    </row>
    <row r="30" spans="2:2" x14ac:dyDescent="0.2">
      <c r="B30" s="281" t="s">
        <v>28</v>
      </c>
    </row>
    <row r="31" spans="2:2" x14ac:dyDescent="0.2">
      <c r="B31" s="283" t="s">
        <v>29</v>
      </c>
    </row>
    <row r="32" spans="2:2" ht="30" x14ac:dyDescent="0.2">
      <c r="B32" s="281" t="s">
        <v>30</v>
      </c>
    </row>
    <row r="33" spans="2:2" x14ac:dyDescent="0.2">
      <c r="B33" s="283" t="s">
        <v>31</v>
      </c>
    </row>
    <row r="34" spans="2:2" ht="45" x14ac:dyDescent="0.2">
      <c r="B34" s="281" t="s">
        <v>32</v>
      </c>
    </row>
    <row r="35" spans="2:2" ht="30" x14ac:dyDescent="0.2">
      <c r="B35" s="281" t="s">
        <v>33</v>
      </c>
    </row>
    <row r="36" spans="2:2" x14ac:dyDescent="0.2">
      <c r="B36" s="283" t="s">
        <v>34</v>
      </c>
    </row>
    <row r="37" spans="2:2" ht="45" x14ac:dyDescent="0.2">
      <c r="B37" s="281" t="s">
        <v>35</v>
      </c>
    </row>
    <row r="38" spans="2:2" x14ac:dyDescent="0.2">
      <c r="B38" s="281" t="s">
        <v>36</v>
      </c>
    </row>
    <row r="39" spans="2:2" x14ac:dyDescent="0.2">
      <c r="B39" s="283" t="s">
        <v>37</v>
      </c>
    </row>
    <row r="40" spans="2:2" ht="45" x14ac:dyDescent="0.2">
      <c r="B40" s="281" t="s">
        <v>38</v>
      </c>
    </row>
    <row r="41" spans="2:2" ht="30" x14ac:dyDescent="0.2">
      <c r="B41" s="281" t="s">
        <v>39</v>
      </c>
    </row>
    <row r="42" spans="2:2" ht="30" x14ac:dyDescent="0.2">
      <c r="B42" s="281" t="s">
        <v>40</v>
      </c>
    </row>
    <row r="43" spans="2:2" x14ac:dyDescent="0.2">
      <c r="B43" s="283" t="s">
        <v>41</v>
      </c>
    </row>
    <row r="44" spans="2:2" ht="60" x14ac:dyDescent="0.2">
      <c r="B44" s="281" t="s">
        <v>42</v>
      </c>
    </row>
    <row r="45" spans="2:2" x14ac:dyDescent="0.2">
      <c r="B45" s="281" t="s">
        <v>43</v>
      </c>
    </row>
    <row r="46" spans="2:2" x14ac:dyDescent="0.2">
      <c r="B46" s="283" t="s">
        <v>44</v>
      </c>
    </row>
    <row r="47" spans="2:2" ht="30" x14ac:dyDescent="0.2">
      <c r="B47" s="281" t="s">
        <v>45</v>
      </c>
    </row>
    <row r="48" spans="2:2" ht="30" x14ac:dyDescent="0.2">
      <c r="B48" s="281" t="s">
        <v>46</v>
      </c>
    </row>
    <row r="49" spans="2:2" ht="30" x14ac:dyDescent="0.2">
      <c r="B49" s="281" t="s">
        <v>47</v>
      </c>
    </row>
    <row r="50" spans="2:2" x14ac:dyDescent="0.2">
      <c r="B50" s="281" t="s">
        <v>48</v>
      </c>
    </row>
    <row r="51" spans="2:2" x14ac:dyDescent="0.2">
      <c r="B51" s="283" t="s">
        <v>49</v>
      </c>
    </row>
    <row r="52" spans="2:2" ht="60" x14ac:dyDescent="0.2">
      <c r="B52" s="281" t="s">
        <v>50</v>
      </c>
    </row>
    <row r="53" spans="2:2" x14ac:dyDescent="0.2">
      <c r="B53" s="283" t="s">
        <v>51</v>
      </c>
    </row>
    <row r="54" spans="2:2" ht="45" x14ac:dyDescent="0.2">
      <c r="B54" s="281" t="s">
        <v>52</v>
      </c>
    </row>
    <row r="55" spans="2:2" x14ac:dyDescent="0.2">
      <c r="B55" s="283" t="s">
        <v>53</v>
      </c>
    </row>
    <row r="56" spans="2:2" ht="30" x14ac:dyDescent="0.2">
      <c r="B56" s="281" t="s">
        <v>54</v>
      </c>
    </row>
    <row r="57" spans="2:2" ht="30" x14ac:dyDescent="0.2">
      <c r="B57" s="281" t="s">
        <v>55</v>
      </c>
    </row>
    <row r="58" spans="2:2" x14ac:dyDescent="0.2">
      <c r="B58" s="283" t="s">
        <v>56</v>
      </c>
    </row>
    <row r="59" spans="2:2" ht="30" x14ac:dyDescent="0.2">
      <c r="B59" s="281" t="s">
        <v>57</v>
      </c>
    </row>
    <row r="60" spans="2:2" ht="30" x14ac:dyDescent="0.2">
      <c r="B60" s="281" t="s">
        <v>58</v>
      </c>
    </row>
    <row r="61" spans="2:2" ht="45" x14ac:dyDescent="0.2">
      <c r="B61" s="281" t="s">
        <v>59</v>
      </c>
    </row>
    <row r="62" spans="2:2" x14ac:dyDescent="0.2">
      <c r="B62" s="281"/>
    </row>
    <row r="63" spans="2:2" ht="16" x14ac:dyDescent="0.2">
      <c r="B63" s="282" t="s">
        <v>60</v>
      </c>
    </row>
    <row r="64" spans="2:2" ht="30" x14ac:dyDescent="0.2">
      <c r="B64" s="284" t="s">
        <v>61</v>
      </c>
    </row>
    <row r="65" spans="2:2" x14ac:dyDescent="0.2">
      <c r="B65" s="281"/>
    </row>
    <row r="66" spans="2:2" x14ac:dyDescent="0.2">
      <c r="B66" s="283" t="s">
        <v>62</v>
      </c>
    </row>
    <row r="67" spans="2:2" ht="30" x14ac:dyDescent="0.2">
      <c r="B67" s="281" t="s">
        <v>63</v>
      </c>
    </row>
    <row r="68" spans="2:2" x14ac:dyDescent="0.2">
      <c r="B68" s="283" t="s">
        <v>64</v>
      </c>
    </row>
    <row r="69" spans="2:2" x14ac:dyDescent="0.2">
      <c r="B69" s="281"/>
    </row>
    <row r="70" spans="2:2" x14ac:dyDescent="0.2">
      <c r="B70" s="283" t="s">
        <v>65</v>
      </c>
    </row>
    <row r="71" spans="2:2" x14ac:dyDescent="0.2">
      <c r="B71" s="281" t="s">
        <v>66</v>
      </c>
    </row>
    <row r="72" spans="2:2" x14ac:dyDescent="0.2">
      <c r="B72" s="283" t="s">
        <v>67</v>
      </c>
    </row>
    <row r="73" spans="2:2" ht="30" x14ac:dyDescent="0.2">
      <c r="B73" s="281" t="s">
        <v>68</v>
      </c>
    </row>
    <row r="74" spans="2:2" x14ac:dyDescent="0.2">
      <c r="B74" s="283" t="s">
        <v>69</v>
      </c>
    </row>
    <row r="75" spans="2:2" ht="30" x14ac:dyDescent="0.2">
      <c r="B75" s="281" t="s">
        <v>70</v>
      </c>
    </row>
    <row r="76" spans="2:2" x14ac:dyDescent="0.2">
      <c r="B76" s="283" t="s">
        <v>71</v>
      </c>
    </row>
    <row r="77" spans="2:2" ht="30" x14ac:dyDescent="0.2">
      <c r="B77" s="281" t="s">
        <v>72</v>
      </c>
    </row>
    <row r="78" spans="2:2" x14ac:dyDescent="0.2">
      <c r="B78" s="283" t="s">
        <v>73</v>
      </c>
    </row>
    <row r="79" spans="2:2" x14ac:dyDescent="0.2">
      <c r="B79" s="281" t="s">
        <v>74</v>
      </c>
    </row>
    <row r="80" spans="2:2" x14ac:dyDescent="0.2">
      <c r="B80" s="283" t="s">
        <v>75</v>
      </c>
    </row>
    <row r="81" spans="2:2" x14ac:dyDescent="0.2">
      <c r="B81" s="281"/>
    </row>
    <row r="82" spans="2:2" x14ac:dyDescent="0.2">
      <c r="B82" s="283" t="s">
        <v>76</v>
      </c>
    </row>
    <row r="83" spans="2:2" ht="30" x14ac:dyDescent="0.2">
      <c r="B83" s="281" t="s">
        <v>77</v>
      </c>
    </row>
    <row r="84" spans="2:2" ht="30" x14ac:dyDescent="0.2">
      <c r="B84" s="281" t="s">
        <v>78</v>
      </c>
    </row>
    <row r="85" spans="2:2" x14ac:dyDescent="0.2">
      <c r="B85" s="281"/>
    </row>
    <row r="86" spans="2:2" ht="16" x14ac:dyDescent="0.2">
      <c r="B86" s="282" t="s">
        <v>79</v>
      </c>
    </row>
    <row r="87" spans="2:2" ht="60" x14ac:dyDescent="0.2">
      <c r="B87" s="281" t="s">
        <v>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71"/>
  <sheetViews>
    <sheetView zoomScale="52" workbookViewId="0">
      <pane ySplit="1" topLeftCell="A7" activePane="bottomLeft" state="frozen"/>
      <selection pane="bottomLeft" activeCell="O10" sqref="O10"/>
    </sheetView>
  </sheetViews>
  <sheetFormatPr baseColWidth="10" defaultColWidth="8.83203125" defaultRowHeight="15" x14ac:dyDescent="0.2"/>
  <cols>
    <col min="1" max="1" width="4.5" customWidth="1"/>
    <col min="2" max="2" width="7.33203125" customWidth="1"/>
    <col min="3" max="3" width="45.5" customWidth="1"/>
    <col min="4" max="5" width="69.1640625" customWidth="1"/>
    <col min="6" max="6" width="20" customWidth="1"/>
    <col min="7" max="7" width="76.33203125" bestFit="1" customWidth="1"/>
  </cols>
  <sheetData>
    <row r="1" spans="2:7" ht="15" customHeight="1" thickBot="1" x14ac:dyDescent="0.25">
      <c r="B1" s="37" t="s">
        <v>81</v>
      </c>
      <c r="C1" s="37" t="s">
        <v>82</v>
      </c>
      <c r="D1" s="37" t="s">
        <v>83</v>
      </c>
      <c r="E1" s="37" t="s">
        <v>84</v>
      </c>
      <c r="F1" s="38" t="s">
        <v>85</v>
      </c>
      <c r="G1" s="69" t="s">
        <v>86</v>
      </c>
    </row>
    <row r="2" spans="2:7" ht="30" customHeight="1" x14ac:dyDescent="0.2">
      <c r="B2" s="39">
        <v>1</v>
      </c>
      <c r="C2" s="59" t="s">
        <v>87</v>
      </c>
      <c r="D2" s="49" t="s">
        <v>88</v>
      </c>
      <c r="E2" s="49" t="s">
        <v>89</v>
      </c>
      <c r="F2" s="27" t="s">
        <v>90</v>
      </c>
      <c r="G2" s="70" t="s">
        <v>91</v>
      </c>
    </row>
    <row r="3" spans="2:7" ht="30" customHeight="1" x14ac:dyDescent="0.2">
      <c r="B3" s="39">
        <v>2</v>
      </c>
      <c r="C3" s="59" t="s">
        <v>92</v>
      </c>
      <c r="D3" s="49" t="s">
        <v>93</v>
      </c>
      <c r="E3" s="49" t="s">
        <v>94</v>
      </c>
      <c r="F3" s="27" t="s">
        <v>90</v>
      </c>
      <c r="G3" s="71" t="s">
        <v>95</v>
      </c>
    </row>
    <row r="4" spans="2:7" ht="30" customHeight="1" x14ac:dyDescent="0.2">
      <c r="B4" s="39">
        <v>3</v>
      </c>
      <c r="C4" s="59" t="s">
        <v>96</v>
      </c>
      <c r="D4" s="49" t="s">
        <v>97</v>
      </c>
      <c r="E4" s="49" t="s">
        <v>98</v>
      </c>
      <c r="F4" s="27" t="s">
        <v>90</v>
      </c>
      <c r="G4" s="71" t="s">
        <v>99</v>
      </c>
    </row>
    <row r="5" spans="2:7" ht="30" customHeight="1" x14ac:dyDescent="0.2">
      <c r="B5" s="39">
        <v>4</v>
      </c>
      <c r="C5" s="59" t="s">
        <v>100</v>
      </c>
      <c r="D5" s="49" t="s">
        <v>101</v>
      </c>
      <c r="E5" s="49" t="s">
        <v>102</v>
      </c>
      <c r="F5" s="27" t="s">
        <v>90</v>
      </c>
      <c r="G5" s="71" t="s">
        <v>99</v>
      </c>
    </row>
    <row r="6" spans="2:7" ht="30" customHeight="1" x14ac:dyDescent="0.2">
      <c r="B6" s="39">
        <v>5</v>
      </c>
      <c r="C6" s="59" t="s">
        <v>103</v>
      </c>
      <c r="D6" s="49" t="s">
        <v>104</v>
      </c>
      <c r="E6" s="49" t="s">
        <v>105</v>
      </c>
      <c r="F6" s="27" t="s">
        <v>90</v>
      </c>
      <c r="G6" s="71" t="s">
        <v>99</v>
      </c>
    </row>
    <row r="7" spans="2:7" ht="30" customHeight="1" x14ac:dyDescent="0.2">
      <c r="B7" s="39">
        <v>6</v>
      </c>
      <c r="C7" s="59" t="s">
        <v>106</v>
      </c>
      <c r="D7" s="49" t="s">
        <v>107</v>
      </c>
      <c r="E7" s="49" t="s">
        <v>108</v>
      </c>
      <c r="F7" s="27" t="s">
        <v>90</v>
      </c>
      <c r="G7" s="71" t="s">
        <v>91</v>
      </c>
    </row>
    <row r="8" spans="2:7" ht="30" customHeight="1" x14ac:dyDescent="0.2">
      <c r="B8" s="39">
        <v>7</v>
      </c>
      <c r="C8" s="59" t="s">
        <v>109</v>
      </c>
      <c r="D8" s="49" t="s">
        <v>110</v>
      </c>
      <c r="E8" s="49" t="s">
        <v>111</v>
      </c>
      <c r="F8" s="27" t="s">
        <v>90</v>
      </c>
      <c r="G8" s="71" t="s">
        <v>91</v>
      </c>
    </row>
    <row r="9" spans="2:7" ht="30" customHeight="1" x14ac:dyDescent="0.2">
      <c r="B9" s="39">
        <v>8</v>
      </c>
      <c r="C9" s="59" t="s">
        <v>112</v>
      </c>
      <c r="D9" s="49" t="s">
        <v>113</v>
      </c>
      <c r="E9" s="49" t="s">
        <v>114</v>
      </c>
      <c r="F9" s="27" t="s">
        <v>90</v>
      </c>
      <c r="G9" s="71" t="s">
        <v>99</v>
      </c>
    </row>
    <row r="10" spans="2:7" ht="30" customHeight="1" x14ac:dyDescent="0.2">
      <c r="B10" s="39">
        <v>9</v>
      </c>
      <c r="C10" s="59" t="s">
        <v>115</v>
      </c>
      <c r="D10" s="49" t="s">
        <v>116</v>
      </c>
      <c r="E10" s="49" t="s">
        <v>117</v>
      </c>
      <c r="F10" s="27" t="s">
        <v>90</v>
      </c>
      <c r="G10" s="71" t="s">
        <v>99</v>
      </c>
    </row>
    <row r="11" spans="2:7" ht="30" customHeight="1" x14ac:dyDescent="0.2">
      <c r="B11" s="39">
        <v>10</v>
      </c>
      <c r="C11" s="59" t="s">
        <v>118</v>
      </c>
      <c r="D11" s="49" t="s">
        <v>119</v>
      </c>
      <c r="E11" s="49" t="s">
        <v>120</v>
      </c>
      <c r="F11" s="27" t="s">
        <v>90</v>
      </c>
      <c r="G11" s="71" t="s">
        <v>99</v>
      </c>
    </row>
    <row r="12" spans="2:7" ht="30" customHeight="1" x14ac:dyDescent="0.2">
      <c r="B12" s="40">
        <v>11</v>
      </c>
      <c r="C12" s="60" t="s">
        <v>121</v>
      </c>
      <c r="D12" s="50" t="s">
        <v>122</v>
      </c>
      <c r="E12" s="50" t="s">
        <v>123</v>
      </c>
      <c r="F12" s="28" t="s">
        <v>124</v>
      </c>
      <c r="G12" s="72" t="s">
        <v>91</v>
      </c>
    </row>
    <row r="13" spans="2:7" ht="30" customHeight="1" x14ac:dyDescent="0.2">
      <c r="B13" s="40">
        <v>12</v>
      </c>
      <c r="C13" s="60" t="s">
        <v>125</v>
      </c>
      <c r="D13" s="50" t="s">
        <v>126</v>
      </c>
      <c r="E13" s="50" t="s">
        <v>127</v>
      </c>
      <c r="F13" s="28" t="s">
        <v>124</v>
      </c>
      <c r="G13" s="72" t="s">
        <v>99</v>
      </c>
    </row>
    <row r="14" spans="2:7" ht="30" customHeight="1" x14ac:dyDescent="0.2">
      <c r="B14" s="40">
        <v>13</v>
      </c>
      <c r="C14" s="60" t="s">
        <v>128</v>
      </c>
      <c r="D14" s="50" t="s">
        <v>129</v>
      </c>
      <c r="E14" s="50" t="s">
        <v>130</v>
      </c>
      <c r="F14" s="28" t="s">
        <v>124</v>
      </c>
      <c r="G14" s="72" t="s">
        <v>95</v>
      </c>
    </row>
    <row r="15" spans="2:7" ht="30" customHeight="1" x14ac:dyDescent="0.2">
      <c r="B15" s="40">
        <v>14</v>
      </c>
      <c r="C15" s="60" t="s">
        <v>131</v>
      </c>
      <c r="D15" s="50" t="s">
        <v>132</v>
      </c>
      <c r="E15" s="50" t="s">
        <v>133</v>
      </c>
      <c r="F15" s="28" t="s">
        <v>124</v>
      </c>
      <c r="G15" s="72" t="s">
        <v>134</v>
      </c>
    </row>
    <row r="16" spans="2:7" ht="30" customHeight="1" x14ac:dyDescent="0.2">
      <c r="B16" s="40">
        <v>15</v>
      </c>
      <c r="C16" s="60" t="s">
        <v>135</v>
      </c>
      <c r="D16" s="50" t="s">
        <v>136</v>
      </c>
      <c r="E16" s="50" t="s">
        <v>137</v>
      </c>
      <c r="F16" s="28" t="s">
        <v>124</v>
      </c>
      <c r="G16" s="72" t="s">
        <v>99</v>
      </c>
    </row>
    <row r="17" spans="2:7" ht="30" customHeight="1" x14ac:dyDescent="0.2">
      <c r="B17" s="40">
        <v>16</v>
      </c>
      <c r="C17" s="60" t="s">
        <v>138</v>
      </c>
      <c r="D17" s="50" t="s">
        <v>139</v>
      </c>
      <c r="E17" s="50" t="s">
        <v>140</v>
      </c>
      <c r="F17" s="28" t="s">
        <v>124</v>
      </c>
      <c r="G17" s="72" t="s">
        <v>91</v>
      </c>
    </row>
    <row r="18" spans="2:7" ht="30" customHeight="1" x14ac:dyDescent="0.2">
      <c r="B18" s="40">
        <v>17</v>
      </c>
      <c r="C18" s="60" t="s">
        <v>141</v>
      </c>
      <c r="D18" s="50" t="s">
        <v>142</v>
      </c>
      <c r="E18" s="50" t="s">
        <v>143</v>
      </c>
      <c r="F18" s="28" t="s">
        <v>124</v>
      </c>
      <c r="G18" s="72" t="s">
        <v>99</v>
      </c>
    </row>
    <row r="19" spans="2:7" ht="30" customHeight="1" x14ac:dyDescent="0.2">
      <c r="B19" s="40">
        <v>18</v>
      </c>
      <c r="C19" s="60" t="s">
        <v>144</v>
      </c>
      <c r="D19" s="50" t="s">
        <v>145</v>
      </c>
      <c r="E19" s="50" t="s">
        <v>146</v>
      </c>
      <c r="F19" s="28" t="s">
        <v>124</v>
      </c>
      <c r="G19" s="72" t="s">
        <v>99</v>
      </c>
    </row>
    <row r="20" spans="2:7" ht="30" customHeight="1" x14ac:dyDescent="0.2">
      <c r="B20" s="41">
        <v>19</v>
      </c>
      <c r="C20" s="61" t="s">
        <v>147</v>
      </c>
      <c r="D20" s="51" t="s">
        <v>148</v>
      </c>
      <c r="E20" s="51" t="s">
        <v>149</v>
      </c>
      <c r="F20" s="29" t="s">
        <v>150</v>
      </c>
      <c r="G20" s="73" t="s">
        <v>91</v>
      </c>
    </row>
    <row r="21" spans="2:7" ht="30" customHeight="1" x14ac:dyDescent="0.2">
      <c r="B21" s="41">
        <v>20</v>
      </c>
      <c r="C21" s="61" t="s">
        <v>151</v>
      </c>
      <c r="D21" s="51" t="s">
        <v>152</v>
      </c>
      <c r="E21" s="51" t="s">
        <v>153</v>
      </c>
      <c r="F21" s="29" t="s">
        <v>150</v>
      </c>
      <c r="G21" s="73" t="s">
        <v>91</v>
      </c>
    </row>
    <row r="22" spans="2:7" ht="30" customHeight="1" x14ac:dyDescent="0.2">
      <c r="B22" s="41">
        <v>21</v>
      </c>
      <c r="C22" s="61" t="s">
        <v>154</v>
      </c>
      <c r="D22" s="51" t="s">
        <v>155</v>
      </c>
      <c r="E22" s="51" t="s">
        <v>156</v>
      </c>
      <c r="F22" s="29" t="s">
        <v>150</v>
      </c>
      <c r="G22" s="73" t="s">
        <v>91</v>
      </c>
    </row>
    <row r="23" spans="2:7" ht="30" customHeight="1" x14ac:dyDescent="0.2">
      <c r="B23" s="41">
        <v>22</v>
      </c>
      <c r="C23" s="61" t="s">
        <v>157</v>
      </c>
      <c r="D23" s="51" t="s">
        <v>158</v>
      </c>
      <c r="E23" s="51" t="s">
        <v>159</v>
      </c>
      <c r="F23" s="29" t="s">
        <v>150</v>
      </c>
      <c r="G23" s="73" t="s">
        <v>99</v>
      </c>
    </row>
    <row r="24" spans="2:7" ht="30" customHeight="1" x14ac:dyDescent="0.2">
      <c r="B24" s="41">
        <v>23</v>
      </c>
      <c r="C24" s="61" t="s">
        <v>160</v>
      </c>
      <c r="D24" s="51" t="s">
        <v>161</v>
      </c>
      <c r="E24" s="51" t="s">
        <v>162</v>
      </c>
      <c r="F24" s="29" t="s">
        <v>150</v>
      </c>
      <c r="G24" s="73" t="s">
        <v>95</v>
      </c>
    </row>
    <row r="25" spans="2:7" ht="30" customHeight="1" x14ac:dyDescent="0.2">
      <c r="B25" s="42">
        <v>24</v>
      </c>
      <c r="C25" s="62" t="s">
        <v>163</v>
      </c>
      <c r="D25" s="52" t="s">
        <v>164</v>
      </c>
      <c r="E25" s="52" t="s">
        <v>165</v>
      </c>
      <c r="F25" s="30" t="s">
        <v>166</v>
      </c>
      <c r="G25" s="74" t="s">
        <v>167</v>
      </c>
    </row>
    <row r="26" spans="2:7" ht="30" customHeight="1" x14ac:dyDescent="0.2">
      <c r="B26" s="42">
        <v>25</v>
      </c>
      <c r="C26" s="62" t="s">
        <v>168</v>
      </c>
      <c r="D26" s="52" t="s">
        <v>169</v>
      </c>
      <c r="E26" s="52" t="s">
        <v>170</v>
      </c>
      <c r="F26" s="30" t="s">
        <v>166</v>
      </c>
      <c r="G26" s="74" t="s">
        <v>99</v>
      </c>
    </row>
    <row r="27" spans="2:7" ht="30" customHeight="1" x14ac:dyDescent="0.2">
      <c r="B27" s="42">
        <v>26</v>
      </c>
      <c r="C27" s="62" t="s">
        <v>171</v>
      </c>
      <c r="D27" s="52" t="s">
        <v>172</v>
      </c>
      <c r="E27" s="52" t="s">
        <v>173</v>
      </c>
      <c r="F27" s="30" t="s">
        <v>166</v>
      </c>
      <c r="G27" s="74" t="s">
        <v>99</v>
      </c>
    </row>
    <row r="28" spans="2:7" ht="30" customHeight="1" x14ac:dyDescent="0.2">
      <c r="B28" s="42">
        <v>27</v>
      </c>
      <c r="C28" s="62" t="s">
        <v>174</v>
      </c>
      <c r="D28" s="52" t="s">
        <v>175</v>
      </c>
      <c r="E28" s="52" t="s">
        <v>176</v>
      </c>
      <c r="F28" s="30" t="s">
        <v>166</v>
      </c>
      <c r="G28" s="74" t="s">
        <v>99</v>
      </c>
    </row>
    <row r="29" spans="2:7" ht="30" customHeight="1" x14ac:dyDescent="0.2">
      <c r="B29" s="42">
        <v>28</v>
      </c>
      <c r="C29" s="62" t="s">
        <v>177</v>
      </c>
      <c r="D29" s="52" t="s">
        <v>178</v>
      </c>
      <c r="E29" s="52" t="s">
        <v>179</v>
      </c>
      <c r="F29" s="30" t="s">
        <v>166</v>
      </c>
      <c r="G29" s="74" t="s">
        <v>180</v>
      </c>
    </row>
    <row r="30" spans="2:7" ht="30" customHeight="1" x14ac:dyDescent="0.2">
      <c r="B30" s="42">
        <v>29</v>
      </c>
      <c r="C30" s="62" t="s">
        <v>181</v>
      </c>
      <c r="D30" s="52" t="s">
        <v>182</v>
      </c>
      <c r="E30" s="52" t="s">
        <v>183</v>
      </c>
      <c r="F30" s="30" t="s">
        <v>166</v>
      </c>
      <c r="G30" s="74" t="s">
        <v>184</v>
      </c>
    </row>
    <row r="31" spans="2:7" ht="30" customHeight="1" x14ac:dyDescent="0.2">
      <c r="B31" s="43">
        <v>30</v>
      </c>
      <c r="C31" s="63" t="s">
        <v>185</v>
      </c>
      <c r="D31" s="53" t="s">
        <v>186</v>
      </c>
      <c r="E31" s="53" t="s">
        <v>187</v>
      </c>
      <c r="F31" s="31" t="s">
        <v>188</v>
      </c>
      <c r="G31" s="75" t="s">
        <v>99</v>
      </c>
    </row>
    <row r="32" spans="2:7" ht="30" customHeight="1" x14ac:dyDescent="0.2">
      <c r="B32" s="43">
        <v>31</v>
      </c>
      <c r="C32" s="63" t="s">
        <v>189</v>
      </c>
      <c r="D32" s="53" t="s">
        <v>190</v>
      </c>
      <c r="E32" s="53" t="s">
        <v>191</v>
      </c>
      <c r="F32" s="31" t="s">
        <v>188</v>
      </c>
      <c r="G32" s="75" t="s">
        <v>99</v>
      </c>
    </row>
    <row r="33" spans="2:7" ht="30" customHeight="1" x14ac:dyDescent="0.2">
      <c r="B33" s="43">
        <v>32</v>
      </c>
      <c r="C33" s="63" t="s">
        <v>192</v>
      </c>
      <c r="D33" s="53" t="s">
        <v>193</v>
      </c>
      <c r="E33" s="53" t="s">
        <v>194</v>
      </c>
      <c r="F33" s="31" t="s">
        <v>188</v>
      </c>
      <c r="G33" s="75" t="s">
        <v>99</v>
      </c>
    </row>
    <row r="34" spans="2:7" ht="30" customHeight="1" x14ac:dyDescent="0.2">
      <c r="B34" s="44">
        <v>33</v>
      </c>
      <c r="C34" s="64" t="s">
        <v>195</v>
      </c>
      <c r="D34" s="54" t="s">
        <v>196</v>
      </c>
      <c r="E34" s="54" t="s">
        <v>197</v>
      </c>
      <c r="F34" s="32" t="s">
        <v>198</v>
      </c>
      <c r="G34" s="76" t="s">
        <v>180</v>
      </c>
    </row>
    <row r="35" spans="2:7" ht="30" customHeight="1" x14ac:dyDescent="0.2">
      <c r="B35" s="44">
        <v>34</v>
      </c>
      <c r="C35" s="64" t="s">
        <v>199</v>
      </c>
      <c r="D35" s="54" t="s">
        <v>200</v>
      </c>
      <c r="E35" s="54" t="s">
        <v>201</v>
      </c>
      <c r="F35" s="32" t="s">
        <v>198</v>
      </c>
      <c r="G35" s="76" t="s">
        <v>202</v>
      </c>
    </row>
    <row r="36" spans="2:7" ht="30" customHeight="1" x14ac:dyDescent="0.2">
      <c r="B36" s="44">
        <v>35</v>
      </c>
      <c r="C36" s="64" t="s">
        <v>203</v>
      </c>
      <c r="D36" s="54" t="s">
        <v>204</v>
      </c>
      <c r="E36" s="54" t="s">
        <v>205</v>
      </c>
      <c r="F36" s="32" t="s">
        <v>198</v>
      </c>
      <c r="G36" s="76" t="s">
        <v>206</v>
      </c>
    </row>
    <row r="37" spans="2:7" ht="30" customHeight="1" x14ac:dyDescent="0.2">
      <c r="B37" s="44">
        <v>36</v>
      </c>
      <c r="C37" s="64" t="s">
        <v>207</v>
      </c>
      <c r="D37" s="54" t="s">
        <v>208</v>
      </c>
      <c r="E37" s="54" t="s">
        <v>209</v>
      </c>
      <c r="F37" s="32" t="s">
        <v>198</v>
      </c>
      <c r="G37" s="76" t="s">
        <v>206</v>
      </c>
    </row>
    <row r="38" spans="2:7" ht="30" customHeight="1" x14ac:dyDescent="0.2">
      <c r="B38" s="44">
        <v>37</v>
      </c>
      <c r="C38" s="64" t="s">
        <v>210</v>
      </c>
      <c r="D38" s="54" t="s">
        <v>211</v>
      </c>
      <c r="E38" s="54" t="s">
        <v>212</v>
      </c>
      <c r="F38" s="32" t="s">
        <v>198</v>
      </c>
      <c r="G38" s="76" t="s">
        <v>99</v>
      </c>
    </row>
    <row r="39" spans="2:7" ht="30" customHeight="1" x14ac:dyDescent="0.2">
      <c r="B39" s="44">
        <v>38</v>
      </c>
      <c r="C39" s="64" t="s">
        <v>213</v>
      </c>
      <c r="D39" s="54" t="s">
        <v>214</v>
      </c>
      <c r="E39" s="54" t="s">
        <v>215</v>
      </c>
      <c r="F39" s="32" t="s">
        <v>198</v>
      </c>
      <c r="G39" s="76" t="s">
        <v>216</v>
      </c>
    </row>
    <row r="40" spans="2:7" ht="30" customHeight="1" x14ac:dyDescent="0.2">
      <c r="B40" s="44">
        <v>39</v>
      </c>
      <c r="C40" s="64" t="s">
        <v>217</v>
      </c>
      <c r="D40" s="54" t="s">
        <v>218</v>
      </c>
      <c r="E40" s="54" t="s">
        <v>219</v>
      </c>
      <c r="F40" s="32" t="s">
        <v>198</v>
      </c>
      <c r="G40" s="76" t="s">
        <v>99</v>
      </c>
    </row>
    <row r="41" spans="2:7" ht="30" customHeight="1" x14ac:dyDescent="0.2">
      <c r="B41" s="44">
        <v>40</v>
      </c>
      <c r="C41" s="64" t="s">
        <v>220</v>
      </c>
      <c r="D41" s="54" t="s">
        <v>221</v>
      </c>
      <c r="E41" s="54" t="s">
        <v>222</v>
      </c>
      <c r="F41" s="32" t="s">
        <v>198</v>
      </c>
      <c r="G41" s="76" t="s">
        <v>99</v>
      </c>
    </row>
    <row r="42" spans="2:7" ht="30" customHeight="1" x14ac:dyDescent="0.2">
      <c r="B42" s="45">
        <v>41</v>
      </c>
      <c r="C42" s="65" t="s">
        <v>223</v>
      </c>
      <c r="D42" s="55" t="s">
        <v>224</v>
      </c>
      <c r="E42" s="55" t="s">
        <v>225</v>
      </c>
      <c r="F42" s="33" t="s">
        <v>226</v>
      </c>
      <c r="G42" s="77" t="s">
        <v>99</v>
      </c>
    </row>
    <row r="43" spans="2:7" ht="30" customHeight="1" x14ac:dyDescent="0.2">
      <c r="B43" s="45">
        <v>42</v>
      </c>
      <c r="C43" s="65" t="s">
        <v>227</v>
      </c>
      <c r="D43" s="55" t="s">
        <v>228</v>
      </c>
      <c r="E43" s="55" t="s">
        <v>229</v>
      </c>
      <c r="F43" s="33" t="s">
        <v>226</v>
      </c>
      <c r="G43" s="77" t="s">
        <v>91</v>
      </c>
    </row>
    <row r="44" spans="2:7" ht="30" customHeight="1" x14ac:dyDescent="0.2">
      <c r="B44" s="45">
        <v>43</v>
      </c>
      <c r="C44" s="65" t="s">
        <v>230</v>
      </c>
      <c r="D44" s="55" t="s">
        <v>231</v>
      </c>
      <c r="E44" s="55" t="s">
        <v>232</v>
      </c>
      <c r="F44" s="33" t="s">
        <v>226</v>
      </c>
      <c r="G44" s="77" t="s">
        <v>233</v>
      </c>
    </row>
    <row r="45" spans="2:7" ht="30" customHeight="1" x14ac:dyDescent="0.2">
      <c r="B45" s="45">
        <v>44</v>
      </c>
      <c r="C45" s="65" t="s">
        <v>234</v>
      </c>
      <c r="D45" s="55" t="s">
        <v>235</v>
      </c>
      <c r="E45" s="55" t="s">
        <v>236</v>
      </c>
      <c r="F45" s="33" t="s">
        <v>226</v>
      </c>
      <c r="G45" s="77" t="s">
        <v>99</v>
      </c>
    </row>
    <row r="46" spans="2:7" ht="30" customHeight="1" x14ac:dyDescent="0.2">
      <c r="B46" s="45">
        <v>45</v>
      </c>
      <c r="C46" s="65" t="s">
        <v>237</v>
      </c>
      <c r="D46" s="55" t="s">
        <v>238</v>
      </c>
      <c r="E46" s="55" t="s">
        <v>239</v>
      </c>
      <c r="F46" s="33" t="s">
        <v>226</v>
      </c>
      <c r="G46" s="77" t="s">
        <v>91</v>
      </c>
    </row>
    <row r="47" spans="2:7" ht="30" customHeight="1" x14ac:dyDescent="0.2">
      <c r="B47" s="45">
        <v>46</v>
      </c>
      <c r="C47" s="65" t="s">
        <v>240</v>
      </c>
      <c r="D47" s="55" t="s">
        <v>241</v>
      </c>
      <c r="E47" s="55" t="s">
        <v>242</v>
      </c>
      <c r="F47" s="33" t="s">
        <v>226</v>
      </c>
      <c r="G47" s="77" t="s">
        <v>233</v>
      </c>
    </row>
    <row r="48" spans="2:7" ht="30" customHeight="1" x14ac:dyDescent="0.2">
      <c r="B48" s="46">
        <v>47</v>
      </c>
      <c r="C48" s="66" t="s">
        <v>243</v>
      </c>
      <c r="D48" s="56" t="s">
        <v>244</v>
      </c>
      <c r="E48" s="56" t="s">
        <v>245</v>
      </c>
      <c r="F48" s="34" t="s">
        <v>246</v>
      </c>
      <c r="G48" s="78" t="s">
        <v>247</v>
      </c>
    </row>
    <row r="49" spans="2:7" ht="30" customHeight="1" x14ac:dyDescent="0.2">
      <c r="B49" s="46">
        <v>48</v>
      </c>
      <c r="C49" s="66" t="s">
        <v>248</v>
      </c>
      <c r="D49" s="56" t="s">
        <v>249</v>
      </c>
      <c r="E49" s="56" t="s">
        <v>250</v>
      </c>
      <c r="F49" s="34" t="s">
        <v>246</v>
      </c>
      <c r="G49" s="78" t="s">
        <v>247</v>
      </c>
    </row>
    <row r="50" spans="2:7" ht="30" customHeight="1" x14ac:dyDescent="0.2">
      <c r="B50" s="46">
        <v>49</v>
      </c>
      <c r="C50" s="66" t="s">
        <v>251</v>
      </c>
      <c r="D50" s="56" t="s">
        <v>252</v>
      </c>
      <c r="E50" s="56" t="s">
        <v>253</v>
      </c>
      <c r="F50" s="34" t="s">
        <v>246</v>
      </c>
      <c r="G50" s="78" t="s">
        <v>247</v>
      </c>
    </row>
    <row r="51" spans="2:7" ht="30" customHeight="1" x14ac:dyDescent="0.2">
      <c r="B51" s="46">
        <v>50</v>
      </c>
      <c r="C51" s="66" t="s">
        <v>254</v>
      </c>
      <c r="D51" s="56" t="s">
        <v>255</v>
      </c>
      <c r="E51" s="56" t="s">
        <v>256</v>
      </c>
      <c r="F51" s="34" t="s">
        <v>246</v>
      </c>
      <c r="G51" s="78" t="s">
        <v>247</v>
      </c>
    </row>
    <row r="52" spans="2:7" ht="30" customHeight="1" x14ac:dyDescent="0.2">
      <c r="B52" s="46">
        <v>51</v>
      </c>
      <c r="C52" s="66" t="s">
        <v>257</v>
      </c>
      <c r="D52" s="56" t="s">
        <v>258</v>
      </c>
      <c r="E52" s="56" t="s">
        <v>259</v>
      </c>
      <c r="F52" s="34" t="s">
        <v>246</v>
      </c>
      <c r="G52" s="78" t="s">
        <v>247</v>
      </c>
    </row>
    <row r="53" spans="2:7" ht="30" customHeight="1" x14ac:dyDescent="0.2">
      <c r="B53" s="46">
        <v>52</v>
      </c>
      <c r="C53" s="66" t="s">
        <v>260</v>
      </c>
      <c r="D53" s="56" t="s">
        <v>261</v>
      </c>
      <c r="E53" s="56" t="s">
        <v>262</v>
      </c>
      <c r="F53" s="34" t="s">
        <v>246</v>
      </c>
      <c r="G53" s="78" t="s">
        <v>247</v>
      </c>
    </row>
    <row r="54" spans="2:7" ht="30" customHeight="1" x14ac:dyDescent="0.2">
      <c r="B54" s="46">
        <v>53</v>
      </c>
      <c r="C54" s="66" t="s">
        <v>263</v>
      </c>
      <c r="D54" s="56" t="s">
        <v>264</v>
      </c>
      <c r="E54" s="56" t="s">
        <v>265</v>
      </c>
      <c r="F54" s="34" t="s">
        <v>246</v>
      </c>
      <c r="G54" s="78" t="s">
        <v>247</v>
      </c>
    </row>
    <row r="55" spans="2:7" ht="30" customHeight="1" x14ac:dyDescent="0.2">
      <c r="B55" s="46">
        <v>54</v>
      </c>
      <c r="C55" s="66" t="s">
        <v>266</v>
      </c>
      <c r="D55" s="56" t="s">
        <v>267</v>
      </c>
      <c r="E55" s="56" t="s">
        <v>268</v>
      </c>
      <c r="F55" s="34" t="s">
        <v>246</v>
      </c>
      <c r="G55" s="78" t="s">
        <v>247</v>
      </c>
    </row>
    <row r="56" spans="2:7" ht="30" customHeight="1" x14ac:dyDescent="0.2">
      <c r="B56" s="46">
        <v>55</v>
      </c>
      <c r="C56" s="66" t="s">
        <v>269</v>
      </c>
      <c r="D56" s="56" t="s">
        <v>270</v>
      </c>
      <c r="E56" s="56" t="s">
        <v>271</v>
      </c>
      <c r="F56" s="34" t="s">
        <v>246</v>
      </c>
      <c r="G56" s="78" t="s">
        <v>247</v>
      </c>
    </row>
    <row r="57" spans="2:7" ht="30" customHeight="1" x14ac:dyDescent="0.2">
      <c r="B57" s="46">
        <v>56</v>
      </c>
      <c r="C57" s="66" t="s">
        <v>272</v>
      </c>
      <c r="D57" s="56" t="s">
        <v>273</v>
      </c>
      <c r="E57" s="56" t="s">
        <v>274</v>
      </c>
      <c r="F57" s="34" t="s">
        <v>246</v>
      </c>
      <c r="G57" s="78" t="s">
        <v>247</v>
      </c>
    </row>
    <row r="58" spans="2:7" ht="30" customHeight="1" x14ac:dyDescent="0.2">
      <c r="B58" s="46">
        <v>57</v>
      </c>
      <c r="C58" s="66" t="s">
        <v>275</v>
      </c>
      <c r="D58" s="56" t="s">
        <v>276</v>
      </c>
      <c r="E58" s="56" t="s">
        <v>277</v>
      </c>
      <c r="F58" s="34" t="s">
        <v>246</v>
      </c>
      <c r="G58" s="78" t="s">
        <v>247</v>
      </c>
    </row>
    <row r="59" spans="2:7" ht="30" customHeight="1" x14ac:dyDescent="0.2">
      <c r="B59" s="47">
        <v>58</v>
      </c>
      <c r="C59" s="67" t="s">
        <v>278</v>
      </c>
      <c r="D59" s="57" t="s">
        <v>279</v>
      </c>
      <c r="E59" s="57" t="s">
        <v>280</v>
      </c>
      <c r="F59" s="35" t="s">
        <v>281</v>
      </c>
      <c r="G59" s="79" t="s">
        <v>91</v>
      </c>
    </row>
    <row r="60" spans="2:7" ht="30" customHeight="1" x14ac:dyDescent="0.2">
      <c r="B60" s="47">
        <v>59</v>
      </c>
      <c r="C60" s="67" t="s">
        <v>282</v>
      </c>
      <c r="D60" s="57" t="s">
        <v>283</v>
      </c>
      <c r="E60" s="57" t="s">
        <v>284</v>
      </c>
      <c r="F60" s="35" t="s">
        <v>281</v>
      </c>
      <c r="G60" s="79" t="s">
        <v>91</v>
      </c>
    </row>
    <row r="61" spans="2:7" ht="30" customHeight="1" x14ac:dyDescent="0.2">
      <c r="B61" s="47">
        <v>60</v>
      </c>
      <c r="C61" s="67" t="s">
        <v>285</v>
      </c>
      <c r="D61" s="57" t="s">
        <v>286</v>
      </c>
      <c r="E61" s="57" t="s">
        <v>287</v>
      </c>
      <c r="F61" s="35" t="s">
        <v>281</v>
      </c>
      <c r="G61" s="79" t="s">
        <v>91</v>
      </c>
    </row>
    <row r="62" spans="2:7" ht="30" customHeight="1" x14ac:dyDescent="0.2">
      <c r="B62" s="47">
        <v>61</v>
      </c>
      <c r="C62" s="67" t="s">
        <v>288</v>
      </c>
      <c r="D62" s="57" t="s">
        <v>289</v>
      </c>
      <c r="E62" s="57" t="s">
        <v>290</v>
      </c>
      <c r="F62" s="35" t="s">
        <v>281</v>
      </c>
      <c r="G62" s="79" t="s">
        <v>91</v>
      </c>
    </row>
    <row r="63" spans="2:7" ht="30" customHeight="1" x14ac:dyDescent="0.2">
      <c r="B63" s="48">
        <v>62</v>
      </c>
      <c r="C63" s="68" t="s">
        <v>291</v>
      </c>
      <c r="D63" s="58" t="s">
        <v>292</v>
      </c>
      <c r="E63" s="58" t="s">
        <v>293</v>
      </c>
      <c r="F63" s="36" t="s">
        <v>294</v>
      </c>
      <c r="G63" s="80" t="s">
        <v>91</v>
      </c>
    </row>
    <row r="64" spans="2:7" ht="30" customHeight="1" x14ac:dyDescent="0.2">
      <c r="B64" s="48">
        <v>63</v>
      </c>
      <c r="C64" s="68" t="s">
        <v>295</v>
      </c>
      <c r="D64" s="58" t="s">
        <v>196</v>
      </c>
      <c r="E64" s="58" t="s">
        <v>296</v>
      </c>
      <c r="F64" s="36" t="s">
        <v>294</v>
      </c>
      <c r="G64" s="80" t="s">
        <v>91</v>
      </c>
    </row>
    <row r="65" spans="2:7" ht="30" customHeight="1" x14ac:dyDescent="0.2">
      <c r="B65" s="48">
        <v>64</v>
      </c>
      <c r="C65" s="68" t="s">
        <v>297</v>
      </c>
      <c r="D65" s="58" t="s">
        <v>178</v>
      </c>
      <c r="E65" s="58" t="s">
        <v>298</v>
      </c>
      <c r="F65" s="36" t="s">
        <v>294</v>
      </c>
      <c r="G65" s="80" t="s">
        <v>180</v>
      </c>
    </row>
    <row r="66" spans="2:7" ht="30" customHeight="1" x14ac:dyDescent="0.2">
      <c r="B66" s="40">
        <v>65</v>
      </c>
      <c r="C66" s="60" t="s">
        <v>299</v>
      </c>
      <c r="D66" s="50" t="s">
        <v>300</v>
      </c>
      <c r="E66" s="50" t="s">
        <v>301</v>
      </c>
      <c r="F66" s="28" t="s">
        <v>124</v>
      </c>
      <c r="G66" s="72" t="s">
        <v>91</v>
      </c>
    </row>
    <row r="67" spans="2:7" ht="30" customHeight="1" x14ac:dyDescent="0.2">
      <c r="B67" s="41">
        <v>66</v>
      </c>
      <c r="C67" s="61" t="s">
        <v>302</v>
      </c>
      <c r="D67" s="51" t="s">
        <v>303</v>
      </c>
      <c r="E67" s="51" t="s">
        <v>304</v>
      </c>
      <c r="F67" s="29" t="s">
        <v>150</v>
      </c>
      <c r="G67" s="73" t="s">
        <v>91</v>
      </c>
    </row>
    <row r="68" spans="2:7" ht="30" customHeight="1" x14ac:dyDescent="0.2">
      <c r="B68" s="42">
        <v>67</v>
      </c>
      <c r="C68" s="62" t="s">
        <v>305</v>
      </c>
      <c r="D68" s="52" t="s">
        <v>306</v>
      </c>
      <c r="E68" s="52" t="s">
        <v>307</v>
      </c>
      <c r="F68" s="30" t="s">
        <v>166</v>
      </c>
      <c r="G68" s="74" t="s">
        <v>99</v>
      </c>
    </row>
    <row r="69" spans="2:7" ht="30" customHeight="1" x14ac:dyDescent="0.2">
      <c r="B69" s="44">
        <v>68</v>
      </c>
      <c r="C69" s="64" t="s">
        <v>308</v>
      </c>
      <c r="D69" s="54" t="s">
        <v>309</v>
      </c>
      <c r="E69" s="54" t="s">
        <v>310</v>
      </c>
      <c r="F69" s="32" t="s">
        <v>198</v>
      </c>
      <c r="G69" s="76" t="s">
        <v>311</v>
      </c>
    </row>
    <row r="70" spans="2:7" ht="30" customHeight="1" x14ac:dyDescent="0.2">
      <c r="B70" s="45">
        <v>69</v>
      </c>
      <c r="C70" s="65" t="s">
        <v>312</v>
      </c>
      <c r="D70" s="55" t="s">
        <v>313</v>
      </c>
      <c r="E70" s="55" t="s">
        <v>314</v>
      </c>
      <c r="F70" s="33" t="s">
        <v>226</v>
      </c>
      <c r="G70" s="77" t="s">
        <v>99</v>
      </c>
    </row>
    <row r="71" spans="2:7" ht="30" customHeight="1" x14ac:dyDescent="0.2">
      <c r="B71" s="39">
        <v>70</v>
      </c>
      <c r="C71" s="59" t="s">
        <v>315</v>
      </c>
      <c r="D71" s="49" t="s">
        <v>316</v>
      </c>
      <c r="E71" s="49" t="s">
        <v>317</v>
      </c>
      <c r="F71" s="27" t="s">
        <v>90</v>
      </c>
      <c r="G71" s="81"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23"/>
  <sheetViews>
    <sheetView zoomScale="101" zoomScaleNormal="40" workbookViewId="0">
      <pane ySplit="2" topLeftCell="A3" activePane="bottomLeft" state="frozen"/>
      <selection pane="bottomLeft" activeCell="F41" sqref="F41"/>
    </sheetView>
  </sheetViews>
  <sheetFormatPr baseColWidth="10" defaultColWidth="8.6640625" defaultRowHeight="19" x14ac:dyDescent="0.25"/>
  <cols>
    <col min="1" max="1" width="1.33203125" style="140" customWidth="1"/>
    <col min="2" max="2" width="29.1640625" style="140" customWidth="1"/>
    <col min="3" max="3" width="58.83203125" style="140" bestFit="1" customWidth="1"/>
    <col min="4" max="4" width="84.5" style="140" bestFit="1" customWidth="1"/>
    <col min="5" max="5" width="51.1640625" style="140" bestFit="1" customWidth="1"/>
    <col min="6" max="6" width="85.5" style="140" bestFit="1" customWidth="1"/>
    <col min="7" max="7" width="32" style="140" bestFit="1" customWidth="1"/>
    <col min="8" max="8" width="51.1640625" style="140" bestFit="1" customWidth="1"/>
    <col min="9" max="9" width="0.83203125" style="140" customWidth="1"/>
    <col min="10" max="10" width="8.6640625" style="140" customWidth="1"/>
    <col min="11" max="16384" width="8.6640625" style="140"/>
  </cols>
  <sheetData>
    <row r="1" spans="2:8" x14ac:dyDescent="0.25">
      <c r="B1" s="316" t="s">
        <v>318</v>
      </c>
      <c r="C1" s="286"/>
      <c r="D1" s="286"/>
      <c r="E1" s="286"/>
      <c r="F1" s="286"/>
      <c r="G1" s="286"/>
      <c r="H1" s="286"/>
    </row>
    <row r="2" spans="2:8" x14ac:dyDescent="0.25">
      <c r="B2" s="320" t="s">
        <v>319</v>
      </c>
      <c r="C2" s="286"/>
      <c r="D2" s="286"/>
      <c r="E2" s="286"/>
      <c r="F2" s="286"/>
      <c r="G2" s="286"/>
      <c r="H2" s="286"/>
    </row>
    <row r="4" spans="2:8" x14ac:dyDescent="0.25">
      <c r="B4" s="296" t="s">
        <v>320</v>
      </c>
      <c r="C4" s="286"/>
      <c r="D4" s="286"/>
      <c r="E4" s="286"/>
      <c r="F4" s="286"/>
      <c r="G4" s="286"/>
      <c r="H4" s="286"/>
    </row>
    <row r="5" spans="2:8" x14ac:dyDescent="0.25">
      <c r="B5" s="286" t="s">
        <v>321</v>
      </c>
      <c r="C5" s="286"/>
      <c r="D5" s="286"/>
      <c r="E5" s="286"/>
      <c r="F5" s="286"/>
      <c r="G5" s="286"/>
      <c r="H5" s="286"/>
    </row>
    <row r="6" spans="2:8" x14ac:dyDescent="0.25">
      <c r="B6" s="290" t="s">
        <v>322</v>
      </c>
      <c r="C6" s="286"/>
      <c r="D6" s="286"/>
      <c r="E6" s="286"/>
      <c r="F6" s="286"/>
      <c r="G6" s="286"/>
      <c r="H6" s="286"/>
    </row>
    <row r="8" spans="2:8" x14ac:dyDescent="0.25">
      <c r="B8" s="296" t="s">
        <v>323</v>
      </c>
      <c r="C8" s="286"/>
      <c r="D8" s="286"/>
      <c r="E8" s="286"/>
      <c r="F8" s="286"/>
      <c r="G8" s="286"/>
      <c r="H8" s="286"/>
    </row>
    <row r="9" spans="2:8" x14ac:dyDescent="0.25">
      <c r="B9" s="286" t="s">
        <v>324</v>
      </c>
      <c r="C9" s="286"/>
      <c r="D9" s="286"/>
      <c r="E9" s="286"/>
      <c r="F9" s="286"/>
      <c r="G9" s="286"/>
      <c r="H9" s="286"/>
    </row>
    <row r="11" spans="2:8" x14ac:dyDescent="0.25">
      <c r="C11" s="314" t="s">
        <v>325</v>
      </c>
      <c r="D11" s="286"/>
      <c r="E11" s="154"/>
      <c r="F11" s="315" t="s">
        <v>326</v>
      </c>
      <c r="G11" s="286"/>
    </row>
    <row r="12" spans="2:8" x14ac:dyDescent="0.25">
      <c r="C12" s="312" t="s">
        <v>327</v>
      </c>
      <c r="D12" s="286"/>
      <c r="E12" s="145" t="s">
        <v>328</v>
      </c>
      <c r="F12" s="289" t="s">
        <v>329</v>
      </c>
      <c r="G12" s="286"/>
    </row>
    <row r="13" spans="2:8" x14ac:dyDescent="0.25">
      <c r="C13" s="318" t="s">
        <v>330</v>
      </c>
      <c r="D13" s="286"/>
      <c r="E13" s="155" t="s">
        <v>331</v>
      </c>
      <c r="F13" s="307" t="s">
        <v>332</v>
      </c>
      <c r="G13" s="286"/>
    </row>
    <row r="14" spans="2:8" ht="19" customHeight="1" thickBot="1" x14ac:dyDescent="0.3"/>
    <row r="15" spans="2:8" x14ac:dyDescent="0.25">
      <c r="C15" s="298" t="s">
        <v>333</v>
      </c>
      <c r="D15" s="299"/>
      <c r="E15" s="299"/>
      <c r="F15" s="299"/>
      <c r="G15" s="300"/>
    </row>
    <row r="16" spans="2:8" x14ac:dyDescent="0.25">
      <c r="C16" s="294" t="s">
        <v>334</v>
      </c>
      <c r="D16" s="286"/>
      <c r="E16" s="286"/>
      <c r="F16" s="286"/>
      <c r="G16" s="295"/>
    </row>
    <row r="17" spans="2:8" ht="19" customHeight="1" thickBot="1" x14ac:dyDescent="0.3">
      <c r="C17" s="308" t="s">
        <v>335</v>
      </c>
      <c r="D17" s="309"/>
      <c r="E17" s="309"/>
      <c r="F17" s="309"/>
      <c r="G17" s="310"/>
    </row>
    <row r="19" spans="2:8" ht="30" customHeight="1" x14ac:dyDescent="0.25">
      <c r="B19" s="141" t="s">
        <v>336</v>
      </c>
      <c r="C19" s="313" t="s">
        <v>337</v>
      </c>
      <c r="D19" s="286"/>
      <c r="E19" s="286"/>
      <c r="F19" s="286"/>
      <c r="G19" s="286"/>
      <c r="H19" s="286"/>
    </row>
    <row r="20" spans="2:8" x14ac:dyDescent="0.25">
      <c r="B20" s="156"/>
      <c r="C20" s="319" t="s">
        <v>338</v>
      </c>
      <c r="D20" s="286"/>
      <c r="E20" s="286"/>
      <c r="F20" s="286"/>
      <c r="G20" s="286"/>
      <c r="H20" s="286"/>
    </row>
    <row r="22" spans="2:8" x14ac:dyDescent="0.25">
      <c r="B22" s="157" t="s">
        <v>339</v>
      </c>
      <c r="C22" s="158" t="s">
        <v>340</v>
      </c>
      <c r="D22" s="159" t="s">
        <v>341</v>
      </c>
      <c r="E22" s="158" t="s">
        <v>342</v>
      </c>
      <c r="F22" s="160" t="s">
        <v>343</v>
      </c>
      <c r="G22" s="161" t="s">
        <v>344</v>
      </c>
      <c r="H22" s="162" t="s">
        <v>345</v>
      </c>
    </row>
    <row r="23" spans="2:8" ht="60" customHeight="1" x14ac:dyDescent="0.25">
      <c r="B23" s="163">
        <v>1</v>
      </c>
      <c r="C23" s="164" t="s">
        <v>346</v>
      </c>
      <c r="D23" s="165">
        <v>0.2</v>
      </c>
      <c r="E23" s="166" t="s">
        <v>347</v>
      </c>
      <c r="F23" s="166" t="s">
        <v>348</v>
      </c>
      <c r="G23" s="166" t="s">
        <v>349</v>
      </c>
      <c r="H23" s="167" t="s">
        <v>350</v>
      </c>
    </row>
    <row r="24" spans="2:8" ht="60" customHeight="1" x14ac:dyDescent="0.25">
      <c r="B24" s="163">
        <v>2</v>
      </c>
      <c r="C24" s="164" t="s">
        <v>351</v>
      </c>
      <c r="D24" s="165">
        <v>0.25</v>
      </c>
      <c r="E24" s="166" t="s">
        <v>352</v>
      </c>
      <c r="F24" s="166" t="s">
        <v>353</v>
      </c>
      <c r="G24" s="166" t="s">
        <v>354</v>
      </c>
      <c r="H24" s="167" t="s">
        <v>355</v>
      </c>
    </row>
    <row r="25" spans="2:8" ht="60" customHeight="1" x14ac:dyDescent="0.25">
      <c r="B25" s="163">
        <v>3</v>
      </c>
      <c r="C25" s="164" t="s">
        <v>356</v>
      </c>
      <c r="D25" s="165">
        <v>0.15</v>
      </c>
      <c r="E25" s="166" t="s">
        <v>357</v>
      </c>
      <c r="F25" s="166" t="s">
        <v>358</v>
      </c>
      <c r="G25" s="166" t="s">
        <v>359</v>
      </c>
      <c r="H25" s="167" t="s">
        <v>360</v>
      </c>
    </row>
    <row r="26" spans="2:8" ht="60" customHeight="1" x14ac:dyDescent="0.25">
      <c r="B26" s="163">
        <v>4</v>
      </c>
      <c r="C26" s="164" t="s">
        <v>361</v>
      </c>
      <c r="D26" s="165">
        <v>0.15</v>
      </c>
      <c r="E26" s="166" t="s">
        <v>362</v>
      </c>
      <c r="F26" s="166" t="s">
        <v>363</v>
      </c>
      <c r="G26" s="166" t="s">
        <v>364</v>
      </c>
      <c r="H26" s="167" t="s">
        <v>365</v>
      </c>
    </row>
    <row r="27" spans="2:8" ht="60" customHeight="1" x14ac:dyDescent="0.25">
      <c r="B27" s="163">
        <v>5</v>
      </c>
      <c r="C27" s="164" t="s">
        <v>366</v>
      </c>
      <c r="D27" s="165">
        <v>0.1</v>
      </c>
      <c r="E27" s="166" t="s">
        <v>367</v>
      </c>
      <c r="F27" s="166" t="s">
        <v>368</v>
      </c>
      <c r="G27" s="166" t="s">
        <v>369</v>
      </c>
      <c r="H27" s="167" t="s">
        <v>370</v>
      </c>
    </row>
    <row r="28" spans="2:8" ht="60" customHeight="1" x14ac:dyDescent="0.25">
      <c r="B28" s="163">
        <v>6</v>
      </c>
      <c r="C28" s="164" t="s">
        <v>371</v>
      </c>
      <c r="D28" s="165">
        <v>0.1</v>
      </c>
      <c r="E28" s="166" t="s">
        <v>372</v>
      </c>
      <c r="F28" s="166" t="s">
        <v>373</v>
      </c>
      <c r="G28" s="166" t="s">
        <v>374</v>
      </c>
      <c r="H28" s="167" t="s">
        <v>375</v>
      </c>
    </row>
    <row r="29" spans="2:8" ht="60" customHeight="1" x14ac:dyDescent="0.25">
      <c r="B29" s="168">
        <v>7</v>
      </c>
      <c r="C29" s="169" t="s">
        <v>376</v>
      </c>
      <c r="D29" s="170">
        <v>0.05</v>
      </c>
      <c r="E29" s="171" t="s">
        <v>377</v>
      </c>
      <c r="F29" s="171" t="s">
        <v>378</v>
      </c>
      <c r="G29" s="171" t="s">
        <v>379</v>
      </c>
      <c r="H29" s="172" t="s">
        <v>380</v>
      </c>
    </row>
    <row r="31" spans="2:8" x14ac:dyDescent="0.25">
      <c r="B31" s="296" t="s">
        <v>381</v>
      </c>
      <c r="C31" s="286"/>
      <c r="D31" s="286"/>
      <c r="E31" s="286"/>
      <c r="F31" s="286"/>
      <c r="G31" s="286"/>
      <c r="H31" s="286"/>
    </row>
    <row r="33" spans="2:8" x14ac:dyDescent="0.25">
      <c r="B33" s="173" t="s">
        <v>340</v>
      </c>
      <c r="C33" s="159" t="s">
        <v>341</v>
      </c>
      <c r="D33" s="159" t="s">
        <v>382</v>
      </c>
      <c r="E33" s="159" t="s">
        <v>383</v>
      </c>
      <c r="F33" s="159" t="s">
        <v>384</v>
      </c>
      <c r="G33" s="174" t="s">
        <v>383</v>
      </c>
    </row>
    <row r="34" spans="2:8" x14ac:dyDescent="0.25">
      <c r="B34" s="175" t="s">
        <v>346</v>
      </c>
      <c r="C34" s="176">
        <v>0.2</v>
      </c>
      <c r="D34" s="177">
        <v>8</v>
      </c>
      <c r="E34" s="178">
        <v>1.6</v>
      </c>
      <c r="F34" s="179">
        <v>5</v>
      </c>
      <c r="G34" s="180">
        <v>1</v>
      </c>
    </row>
    <row r="35" spans="2:8" x14ac:dyDescent="0.25">
      <c r="B35" s="175" t="s">
        <v>385</v>
      </c>
      <c r="C35" s="176">
        <v>0.25</v>
      </c>
      <c r="D35" s="177">
        <v>9</v>
      </c>
      <c r="E35" s="178">
        <v>2.25</v>
      </c>
      <c r="F35" s="179">
        <v>6</v>
      </c>
      <c r="G35" s="180">
        <v>1.5</v>
      </c>
    </row>
    <row r="36" spans="2:8" x14ac:dyDescent="0.25">
      <c r="B36" s="175" t="s">
        <v>356</v>
      </c>
      <c r="C36" s="176">
        <v>0.15</v>
      </c>
      <c r="D36" s="177">
        <v>8</v>
      </c>
      <c r="E36" s="178">
        <v>1.2</v>
      </c>
      <c r="F36" s="179">
        <v>5</v>
      </c>
      <c r="G36" s="180">
        <v>0.75</v>
      </c>
    </row>
    <row r="37" spans="2:8" x14ac:dyDescent="0.25">
      <c r="B37" s="175" t="s">
        <v>386</v>
      </c>
      <c r="C37" s="176">
        <v>0.15</v>
      </c>
      <c r="D37" s="177">
        <v>8</v>
      </c>
      <c r="E37" s="178">
        <v>1.2</v>
      </c>
      <c r="F37" s="181">
        <v>3</v>
      </c>
      <c r="G37" s="180">
        <v>0.45</v>
      </c>
    </row>
    <row r="38" spans="2:8" x14ac:dyDescent="0.25">
      <c r="B38" s="175" t="s">
        <v>387</v>
      </c>
      <c r="C38" s="176">
        <v>0.1</v>
      </c>
      <c r="D38" s="177">
        <v>9</v>
      </c>
      <c r="E38" s="178">
        <v>0.9</v>
      </c>
      <c r="F38" s="179">
        <v>4</v>
      </c>
      <c r="G38" s="180">
        <v>0.4</v>
      </c>
    </row>
    <row r="39" spans="2:8" x14ac:dyDescent="0.25">
      <c r="B39" s="175" t="s">
        <v>388</v>
      </c>
      <c r="C39" s="176">
        <v>0.1</v>
      </c>
      <c r="D39" s="177">
        <v>7</v>
      </c>
      <c r="E39" s="178">
        <v>0.7</v>
      </c>
      <c r="F39" s="179">
        <v>4</v>
      </c>
      <c r="G39" s="180">
        <v>0.4</v>
      </c>
    </row>
    <row r="40" spans="2:8" x14ac:dyDescent="0.25">
      <c r="B40" s="175" t="s">
        <v>389</v>
      </c>
      <c r="C40" s="176">
        <v>0.05</v>
      </c>
      <c r="D40" s="177">
        <v>9</v>
      </c>
      <c r="E40" s="178">
        <v>0.45</v>
      </c>
      <c r="F40" s="179">
        <v>5</v>
      </c>
      <c r="G40" s="180">
        <v>0.25</v>
      </c>
    </row>
    <row r="41" spans="2:8" x14ac:dyDescent="0.25">
      <c r="B41" s="182" t="s">
        <v>390</v>
      </c>
      <c r="C41" s="183">
        <v>1</v>
      </c>
      <c r="D41" s="184"/>
      <c r="E41" s="146">
        <v>8.3000000000000007</v>
      </c>
      <c r="F41" s="184"/>
      <c r="G41" s="185">
        <v>4.75</v>
      </c>
    </row>
    <row r="43" spans="2:8" x14ac:dyDescent="0.25">
      <c r="B43" s="290" t="s">
        <v>391</v>
      </c>
      <c r="C43" s="286"/>
      <c r="D43" s="286"/>
      <c r="E43" s="286"/>
      <c r="F43" s="286"/>
      <c r="G43" s="286"/>
      <c r="H43" s="286"/>
    </row>
    <row r="45" spans="2:8" ht="30" customHeight="1" x14ac:dyDescent="0.25">
      <c r="B45" s="142" t="s">
        <v>392</v>
      </c>
      <c r="C45" s="317" t="s">
        <v>393</v>
      </c>
      <c r="D45" s="286"/>
      <c r="E45" s="286"/>
      <c r="F45" s="286"/>
      <c r="G45" s="286"/>
      <c r="H45" s="286"/>
    </row>
    <row r="46" spans="2:8" x14ac:dyDescent="0.25">
      <c r="B46" s="186"/>
      <c r="C46" s="288" t="s">
        <v>394</v>
      </c>
      <c r="D46" s="286"/>
      <c r="E46" s="286"/>
      <c r="F46" s="286"/>
      <c r="G46" s="286"/>
      <c r="H46" s="286"/>
    </row>
    <row r="48" spans="2:8" x14ac:dyDescent="0.25">
      <c r="B48" s="321" t="s">
        <v>395</v>
      </c>
      <c r="C48" s="286"/>
      <c r="D48" s="286"/>
      <c r="E48" s="286"/>
      <c r="F48" s="286"/>
      <c r="G48" s="286"/>
      <c r="H48" s="286"/>
    </row>
    <row r="50" spans="2:8" x14ac:dyDescent="0.25">
      <c r="B50" s="187" t="s">
        <v>85</v>
      </c>
      <c r="C50" s="188" t="s">
        <v>396</v>
      </c>
      <c r="D50" s="188" t="s">
        <v>397</v>
      </c>
      <c r="E50" s="188" t="s">
        <v>398</v>
      </c>
      <c r="F50" s="189" t="s">
        <v>399</v>
      </c>
    </row>
    <row r="51" spans="2:8" x14ac:dyDescent="0.25">
      <c r="B51" s="190" t="s">
        <v>400</v>
      </c>
      <c r="C51" s="164" t="s">
        <v>401</v>
      </c>
      <c r="D51" s="164" t="s">
        <v>402</v>
      </c>
      <c r="E51" s="164" t="s">
        <v>403</v>
      </c>
      <c r="F51" s="191" t="s">
        <v>404</v>
      </c>
    </row>
    <row r="52" spans="2:8" x14ac:dyDescent="0.25">
      <c r="B52" s="192" t="s">
        <v>405</v>
      </c>
      <c r="C52" s="164" t="s">
        <v>406</v>
      </c>
      <c r="D52" s="164" t="s">
        <v>407</v>
      </c>
      <c r="E52" s="164" t="s">
        <v>408</v>
      </c>
      <c r="F52" s="191" t="s">
        <v>409</v>
      </c>
    </row>
    <row r="53" spans="2:8" x14ac:dyDescent="0.25">
      <c r="B53" s="193" t="s">
        <v>410</v>
      </c>
      <c r="C53" s="164" t="s">
        <v>411</v>
      </c>
      <c r="D53" s="164" t="s">
        <v>412</v>
      </c>
      <c r="E53" s="164" t="s">
        <v>413</v>
      </c>
      <c r="F53" s="191" t="s">
        <v>414</v>
      </c>
    </row>
    <row r="54" spans="2:8" x14ac:dyDescent="0.25">
      <c r="B54" s="194" t="s">
        <v>415</v>
      </c>
      <c r="C54" s="164" t="s">
        <v>416</v>
      </c>
      <c r="D54" s="164" t="s">
        <v>417</v>
      </c>
      <c r="E54" s="164" t="s">
        <v>418</v>
      </c>
      <c r="F54" s="191" t="s">
        <v>419</v>
      </c>
    </row>
    <row r="55" spans="2:8" x14ac:dyDescent="0.25">
      <c r="B55" s="195" t="s">
        <v>420</v>
      </c>
      <c r="C55" s="169" t="s">
        <v>421</v>
      </c>
      <c r="D55" s="169" t="s">
        <v>422</v>
      </c>
      <c r="E55" s="169" t="s">
        <v>423</v>
      </c>
      <c r="F55" s="196" t="s">
        <v>424</v>
      </c>
    </row>
    <row r="57" spans="2:8" x14ac:dyDescent="0.25">
      <c r="B57" s="296" t="s">
        <v>425</v>
      </c>
      <c r="C57" s="286"/>
      <c r="D57" s="286"/>
      <c r="E57" s="286"/>
      <c r="F57" s="286"/>
      <c r="G57" s="286"/>
      <c r="H57" s="286"/>
    </row>
    <row r="58" spans="2:8" x14ac:dyDescent="0.25">
      <c r="B58" s="297" t="s">
        <v>426</v>
      </c>
      <c r="C58" s="286"/>
      <c r="D58" s="286"/>
      <c r="E58" s="286"/>
      <c r="F58" s="286"/>
      <c r="G58" s="286"/>
      <c r="H58" s="286"/>
    </row>
    <row r="60" spans="2:8" x14ac:dyDescent="0.25">
      <c r="B60" s="197" t="s">
        <v>427</v>
      </c>
      <c r="C60" s="198" t="s">
        <v>428</v>
      </c>
      <c r="D60" s="198" t="s">
        <v>429</v>
      </c>
      <c r="E60" s="198" t="s">
        <v>430</v>
      </c>
      <c r="F60" s="199" t="s">
        <v>431</v>
      </c>
    </row>
    <row r="61" spans="2:8" ht="50" customHeight="1" x14ac:dyDescent="0.25">
      <c r="B61" s="192" t="s">
        <v>432</v>
      </c>
      <c r="C61" s="164" t="s">
        <v>433</v>
      </c>
      <c r="D61" s="164" t="s">
        <v>434</v>
      </c>
      <c r="E61" s="166" t="s">
        <v>435</v>
      </c>
      <c r="F61" s="167" t="s">
        <v>436</v>
      </c>
    </row>
    <row r="62" spans="2:8" ht="50" customHeight="1" x14ac:dyDescent="0.25">
      <c r="B62" s="190" t="s">
        <v>437</v>
      </c>
      <c r="C62" s="164" t="s">
        <v>438</v>
      </c>
      <c r="D62" s="164" t="s">
        <v>439</v>
      </c>
      <c r="E62" s="166" t="s">
        <v>440</v>
      </c>
      <c r="F62" s="167" t="s">
        <v>441</v>
      </c>
    </row>
    <row r="63" spans="2:8" ht="50" customHeight="1" x14ac:dyDescent="0.25">
      <c r="B63" s="193" t="s">
        <v>442</v>
      </c>
      <c r="C63" s="164" t="s">
        <v>443</v>
      </c>
      <c r="D63" s="164" t="s">
        <v>444</v>
      </c>
      <c r="E63" s="166" t="s">
        <v>445</v>
      </c>
      <c r="F63" s="167" t="s">
        <v>446</v>
      </c>
    </row>
    <row r="64" spans="2:8" ht="50" customHeight="1" x14ac:dyDescent="0.25">
      <c r="B64" s="194" t="s">
        <v>447</v>
      </c>
      <c r="C64" s="164" t="s">
        <v>448</v>
      </c>
      <c r="D64" s="164" t="s">
        <v>449</v>
      </c>
      <c r="E64" s="166" t="s">
        <v>450</v>
      </c>
      <c r="F64" s="167" t="s">
        <v>451</v>
      </c>
    </row>
    <row r="65" spans="2:8" ht="50" customHeight="1" x14ac:dyDescent="0.25">
      <c r="B65" s="195" t="s">
        <v>452</v>
      </c>
      <c r="C65" s="169" t="s">
        <v>453</v>
      </c>
      <c r="D65" s="169" t="s">
        <v>454</v>
      </c>
      <c r="E65" s="171" t="s">
        <v>455</v>
      </c>
      <c r="F65" s="172" t="s">
        <v>456</v>
      </c>
    </row>
    <row r="67" spans="2:8" x14ac:dyDescent="0.25">
      <c r="B67" s="296" t="s">
        <v>457</v>
      </c>
      <c r="C67" s="286"/>
      <c r="D67" s="286"/>
      <c r="E67" s="286"/>
      <c r="F67" s="286"/>
      <c r="G67" s="286"/>
      <c r="H67" s="286"/>
    </row>
    <row r="68" spans="2:8" x14ac:dyDescent="0.25">
      <c r="B68" s="297" t="s">
        <v>458</v>
      </c>
      <c r="C68" s="286"/>
      <c r="D68" s="286"/>
      <c r="E68" s="286"/>
      <c r="F68" s="286"/>
      <c r="G68" s="286"/>
      <c r="H68" s="286"/>
    </row>
    <row r="70" spans="2:8" x14ac:dyDescent="0.25">
      <c r="B70" s="200" t="s">
        <v>459</v>
      </c>
      <c r="C70" s="188" t="s">
        <v>341</v>
      </c>
      <c r="D70" s="188" t="s">
        <v>460</v>
      </c>
      <c r="E70" s="201" t="s">
        <v>461</v>
      </c>
      <c r="F70" s="188" t="s">
        <v>462</v>
      </c>
      <c r="G70" s="188" t="s">
        <v>461</v>
      </c>
      <c r="H70" s="189" t="s">
        <v>463</v>
      </c>
    </row>
    <row r="71" spans="2:8" x14ac:dyDescent="0.25">
      <c r="B71" s="175" t="s">
        <v>464</v>
      </c>
      <c r="C71" s="176">
        <v>0.2</v>
      </c>
      <c r="D71" s="202">
        <v>8</v>
      </c>
      <c r="E71" s="164" t="s">
        <v>465</v>
      </c>
      <c r="F71" s="203">
        <v>5</v>
      </c>
      <c r="G71" s="164" t="s">
        <v>466</v>
      </c>
      <c r="H71" s="204">
        <v>7</v>
      </c>
    </row>
    <row r="72" spans="2:8" x14ac:dyDescent="0.25">
      <c r="B72" s="175" t="s">
        <v>467</v>
      </c>
      <c r="C72" s="176">
        <v>0.2</v>
      </c>
      <c r="D72" s="202">
        <v>8</v>
      </c>
      <c r="E72" s="164" t="s">
        <v>468</v>
      </c>
      <c r="F72" s="203">
        <v>4</v>
      </c>
      <c r="G72" s="164" t="s">
        <v>469</v>
      </c>
      <c r="H72" s="204">
        <v>9</v>
      </c>
    </row>
    <row r="73" spans="2:8" x14ac:dyDescent="0.25">
      <c r="B73" s="175" t="s">
        <v>470</v>
      </c>
      <c r="C73" s="176">
        <v>0.2</v>
      </c>
      <c r="D73" s="202">
        <v>9</v>
      </c>
      <c r="E73" s="164" t="s">
        <v>471</v>
      </c>
      <c r="F73" s="202">
        <v>7</v>
      </c>
      <c r="G73" s="164" t="s">
        <v>472</v>
      </c>
      <c r="H73" s="204">
        <v>8</v>
      </c>
    </row>
    <row r="74" spans="2:8" x14ac:dyDescent="0.25">
      <c r="B74" s="175" t="s">
        <v>473</v>
      </c>
      <c r="C74" s="176">
        <v>0.15</v>
      </c>
      <c r="D74" s="203">
        <v>6</v>
      </c>
      <c r="E74" s="164" t="s">
        <v>474</v>
      </c>
      <c r="F74" s="203">
        <v>4</v>
      </c>
      <c r="G74" s="164" t="s">
        <v>475</v>
      </c>
      <c r="H74" s="204">
        <v>9</v>
      </c>
    </row>
    <row r="75" spans="2:8" x14ac:dyDescent="0.25">
      <c r="B75" s="175" t="s">
        <v>476</v>
      </c>
      <c r="C75" s="176">
        <v>0.15</v>
      </c>
      <c r="D75" s="203">
        <v>5</v>
      </c>
      <c r="E75" s="164" t="s">
        <v>477</v>
      </c>
      <c r="F75" s="205">
        <v>3</v>
      </c>
      <c r="G75" s="164" t="s">
        <v>478</v>
      </c>
      <c r="H75" s="204">
        <v>8</v>
      </c>
    </row>
    <row r="76" spans="2:8" x14ac:dyDescent="0.25">
      <c r="B76" s="175" t="s">
        <v>479</v>
      </c>
      <c r="C76" s="176">
        <v>0.1</v>
      </c>
      <c r="D76" s="202">
        <v>8</v>
      </c>
      <c r="E76" s="164" t="s">
        <v>480</v>
      </c>
      <c r="F76" s="203">
        <v>6</v>
      </c>
      <c r="G76" s="164" t="s">
        <v>481</v>
      </c>
      <c r="H76" s="204">
        <v>7</v>
      </c>
    </row>
    <row r="77" spans="2:8" x14ac:dyDescent="0.25">
      <c r="B77" s="206" t="s">
        <v>482</v>
      </c>
      <c r="C77" s="207">
        <v>1</v>
      </c>
      <c r="D77" s="208">
        <v>7.35</v>
      </c>
      <c r="E77" s="209"/>
      <c r="F77" s="210">
        <v>4.8499999999999996</v>
      </c>
      <c r="G77" s="209"/>
      <c r="H77" s="211">
        <v>8.15</v>
      </c>
    </row>
    <row r="79" spans="2:8" x14ac:dyDescent="0.25">
      <c r="B79" s="290" t="s">
        <v>483</v>
      </c>
      <c r="C79" s="286"/>
      <c r="D79" s="286"/>
      <c r="E79" s="286"/>
      <c r="F79" s="286"/>
      <c r="G79" s="286"/>
      <c r="H79" s="286"/>
    </row>
    <row r="81" spans="2:8" ht="30" customHeight="1" x14ac:dyDescent="0.25">
      <c r="B81" s="143" t="s">
        <v>484</v>
      </c>
      <c r="C81" s="302" t="s">
        <v>485</v>
      </c>
      <c r="D81" s="286"/>
      <c r="E81" s="286"/>
      <c r="F81" s="286"/>
      <c r="G81" s="286"/>
      <c r="H81" s="286"/>
    </row>
    <row r="82" spans="2:8" x14ac:dyDescent="0.25">
      <c r="B82" s="212"/>
      <c r="C82" s="301" t="s">
        <v>486</v>
      </c>
      <c r="D82" s="286"/>
      <c r="E82" s="286"/>
      <c r="F82" s="286"/>
      <c r="G82" s="286"/>
      <c r="H82" s="286"/>
    </row>
    <row r="84" spans="2:8" x14ac:dyDescent="0.25">
      <c r="B84" s="296" t="s">
        <v>487</v>
      </c>
      <c r="C84" s="286"/>
      <c r="D84" s="286"/>
      <c r="E84" s="286"/>
      <c r="F84" s="286"/>
      <c r="G84" s="286"/>
      <c r="H84" s="286"/>
    </row>
    <row r="86" spans="2:8" x14ac:dyDescent="0.25">
      <c r="B86" s="213" t="s">
        <v>488</v>
      </c>
      <c r="C86" s="161" t="s">
        <v>489</v>
      </c>
      <c r="D86" s="161" t="s">
        <v>341</v>
      </c>
      <c r="E86" s="161" t="s">
        <v>490</v>
      </c>
      <c r="F86" s="214" t="s">
        <v>491</v>
      </c>
    </row>
    <row r="87" spans="2:8" x14ac:dyDescent="0.25">
      <c r="B87" s="190" t="s">
        <v>492</v>
      </c>
      <c r="C87" s="215">
        <v>8.3000000000000007</v>
      </c>
      <c r="D87" s="216" t="s">
        <v>493</v>
      </c>
      <c r="E87" s="215">
        <v>3.32</v>
      </c>
      <c r="F87" s="191" t="s">
        <v>494</v>
      </c>
    </row>
    <row r="88" spans="2:8" x14ac:dyDescent="0.25">
      <c r="B88" s="192" t="s">
        <v>495</v>
      </c>
      <c r="C88" s="215">
        <v>7.35</v>
      </c>
      <c r="D88" s="216" t="s">
        <v>496</v>
      </c>
      <c r="E88" s="215">
        <v>4.41</v>
      </c>
      <c r="F88" s="191" t="s">
        <v>497</v>
      </c>
    </row>
    <row r="89" spans="2:8" x14ac:dyDescent="0.25">
      <c r="B89" s="217" t="s">
        <v>498</v>
      </c>
      <c r="C89" s="218"/>
      <c r="D89" s="218"/>
      <c r="E89" s="146">
        <v>7.73</v>
      </c>
      <c r="F89" s="219" t="s">
        <v>499</v>
      </c>
    </row>
    <row r="91" spans="2:8" x14ac:dyDescent="0.25">
      <c r="B91" s="296" t="s">
        <v>500</v>
      </c>
      <c r="C91" s="286"/>
      <c r="D91" s="286"/>
      <c r="E91" s="286"/>
      <c r="F91" s="286"/>
      <c r="G91" s="286"/>
      <c r="H91" s="286"/>
    </row>
    <row r="93" spans="2:8" x14ac:dyDescent="0.25">
      <c r="B93" s="220" t="s">
        <v>501</v>
      </c>
      <c r="C93" s="221" t="s">
        <v>489</v>
      </c>
      <c r="D93" s="221" t="s">
        <v>502</v>
      </c>
      <c r="E93" s="221" t="s">
        <v>503</v>
      </c>
      <c r="F93" s="221" t="s">
        <v>504</v>
      </c>
      <c r="G93" s="221" t="s">
        <v>505</v>
      </c>
      <c r="H93" s="222" t="s">
        <v>506</v>
      </c>
    </row>
    <row r="94" spans="2:8" ht="55" customHeight="1" x14ac:dyDescent="0.25">
      <c r="B94" s="147" t="s">
        <v>507</v>
      </c>
      <c r="C94" s="223" t="s">
        <v>508</v>
      </c>
      <c r="D94" s="224" t="s">
        <v>509</v>
      </c>
      <c r="E94" s="166" t="s">
        <v>510</v>
      </c>
      <c r="F94" s="166" t="s">
        <v>511</v>
      </c>
      <c r="G94" s="166" t="s">
        <v>512</v>
      </c>
      <c r="H94" s="167" t="s">
        <v>513</v>
      </c>
    </row>
    <row r="95" spans="2:8" ht="55" customHeight="1" x14ac:dyDescent="0.25">
      <c r="B95" s="148" t="s">
        <v>514</v>
      </c>
      <c r="C95" s="225" t="s">
        <v>515</v>
      </c>
      <c r="D95" s="226" t="s">
        <v>516</v>
      </c>
      <c r="E95" s="166" t="s">
        <v>517</v>
      </c>
      <c r="F95" s="166" t="s">
        <v>518</v>
      </c>
      <c r="G95" s="166" t="s">
        <v>519</v>
      </c>
      <c r="H95" s="167" t="s">
        <v>520</v>
      </c>
    </row>
    <row r="96" spans="2:8" ht="55" customHeight="1" x14ac:dyDescent="0.25">
      <c r="B96" s="149" t="s">
        <v>521</v>
      </c>
      <c r="C96" s="227" t="s">
        <v>522</v>
      </c>
      <c r="D96" s="228" t="s">
        <v>523</v>
      </c>
      <c r="E96" s="166" t="s">
        <v>524</v>
      </c>
      <c r="F96" s="166" t="s">
        <v>525</v>
      </c>
      <c r="G96" s="166" t="s">
        <v>526</v>
      </c>
      <c r="H96" s="167" t="s">
        <v>527</v>
      </c>
    </row>
    <row r="97" spans="2:8" ht="55" customHeight="1" x14ac:dyDescent="0.25">
      <c r="B97" s="150" t="s">
        <v>528</v>
      </c>
      <c r="C97" s="229" t="s">
        <v>529</v>
      </c>
      <c r="D97" s="230" t="s">
        <v>530</v>
      </c>
      <c r="E97" s="166" t="s">
        <v>531</v>
      </c>
      <c r="F97" s="166" t="s">
        <v>532</v>
      </c>
      <c r="G97" s="166" t="s">
        <v>533</v>
      </c>
      <c r="H97" s="167" t="s">
        <v>534</v>
      </c>
    </row>
    <row r="98" spans="2:8" ht="55" customHeight="1" x14ac:dyDescent="0.25">
      <c r="B98" s="151" t="s">
        <v>535</v>
      </c>
      <c r="C98" s="231" t="s">
        <v>536</v>
      </c>
      <c r="D98" s="231" t="s">
        <v>537</v>
      </c>
      <c r="E98" s="171" t="s">
        <v>538</v>
      </c>
      <c r="F98" s="171" t="s">
        <v>539</v>
      </c>
      <c r="G98" s="171" t="s">
        <v>540</v>
      </c>
      <c r="H98" s="172" t="s">
        <v>541</v>
      </c>
    </row>
    <row r="100" spans="2:8" ht="30" customHeight="1" x14ac:dyDescent="0.25">
      <c r="B100" s="144" t="s">
        <v>542</v>
      </c>
      <c r="C100" s="311" t="s">
        <v>543</v>
      </c>
      <c r="D100" s="286"/>
      <c r="E100" s="286"/>
      <c r="F100" s="286"/>
      <c r="G100" s="286"/>
      <c r="H100" s="286"/>
    </row>
    <row r="101" spans="2:8" x14ac:dyDescent="0.25">
      <c r="B101" s="232"/>
      <c r="C101" s="306" t="s">
        <v>544</v>
      </c>
      <c r="D101" s="286"/>
      <c r="E101" s="286"/>
      <c r="F101" s="286"/>
      <c r="G101" s="286"/>
      <c r="H101" s="286"/>
    </row>
    <row r="102" spans="2:8" ht="19" customHeight="1" thickBot="1" x14ac:dyDescent="0.3"/>
    <row r="103" spans="2:8" x14ac:dyDescent="0.25">
      <c r="C103" s="291" t="s">
        <v>545</v>
      </c>
      <c r="D103" s="292"/>
      <c r="E103" s="292"/>
      <c r="F103" s="292"/>
      <c r="G103" s="293"/>
    </row>
    <row r="104" spans="2:8" ht="19" customHeight="1" thickBot="1" x14ac:dyDescent="0.3">
      <c r="C104" s="303" t="s">
        <v>546</v>
      </c>
      <c r="D104" s="304"/>
      <c r="E104" s="304"/>
      <c r="F104" s="304"/>
      <c r="G104" s="305"/>
    </row>
    <row r="106" spans="2:8" x14ac:dyDescent="0.25">
      <c r="B106" s="296" t="s">
        <v>547</v>
      </c>
      <c r="C106" s="286"/>
      <c r="D106" s="286"/>
      <c r="E106" s="286"/>
      <c r="F106" s="286"/>
      <c r="G106" s="286"/>
      <c r="H106" s="286"/>
    </row>
    <row r="108" spans="2:8" x14ac:dyDescent="0.25">
      <c r="B108" s="220" t="s">
        <v>488</v>
      </c>
      <c r="C108" s="198" t="s">
        <v>548</v>
      </c>
      <c r="D108" s="198" t="s">
        <v>549</v>
      </c>
      <c r="E108" s="199" t="s">
        <v>550</v>
      </c>
    </row>
    <row r="109" spans="2:8" x14ac:dyDescent="0.25">
      <c r="B109" s="194" t="s">
        <v>551</v>
      </c>
      <c r="C109" s="164" t="s">
        <v>552</v>
      </c>
      <c r="D109" s="164" t="s">
        <v>553</v>
      </c>
      <c r="E109" s="191" t="s">
        <v>554</v>
      </c>
    </row>
    <row r="110" spans="2:8" x14ac:dyDescent="0.25">
      <c r="B110" s="190" t="s">
        <v>555</v>
      </c>
      <c r="C110" s="164" t="s">
        <v>556</v>
      </c>
      <c r="D110" s="164" t="s">
        <v>557</v>
      </c>
      <c r="E110" s="191" t="s">
        <v>558</v>
      </c>
    </row>
    <row r="111" spans="2:8" x14ac:dyDescent="0.25">
      <c r="B111" s="192" t="s">
        <v>559</v>
      </c>
      <c r="C111" s="164" t="s">
        <v>560</v>
      </c>
      <c r="D111" s="164" t="s">
        <v>561</v>
      </c>
      <c r="E111" s="191" t="s">
        <v>562</v>
      </c>
    </row>
    <row r="112" spans="2:8" x14ac:dyDescent="0.25">
      <c r="B112" s="233" t="s">
        <v>563</v>
      </c>
      <c r="C112" s="169" t="s">
        <v>564</v>
      </c>
      <c r="D112" s="169" t="s">
        <v>565</v>
      </c>
      <c r="E112" s="196" t="s">
        <v>566</v>
      </c>
    </row>
    <row r="114" spans="2:8" ht="30" customHeight="1" x14ac:dyDescent="0.25">
      <c r="B114" s="285" t="s">
        <v>567</v>
      </c>
      <c r="C114" s="286"/>
      <c r="D114" s="286"/>
      <c r="E114" s="286"/>
      <c r="F114" s="286"/>
      <c r="G114" s="286"/>
      <c r="H114" s="286"/>
    </row>
    <row r="116" spans="2:8" x14ac:dyDescent="0.25">
      <c r="B116" s="220" t="s">
        <v>0</v>
      </c>
      <c r="C116" s="198" t="s">
        <v>568</v>
      </c>
      <c r="D116" s="198" t="s">
        <v>569</v>
      </c>
      <c r="E116" s="221" t="s">
        <v>570</v>
      </c>
      <c r="F116" s="199" t="s">
        <v>571</v>
      </c>
    </row>
    <row r="117" spans="2:8" ht="35" customHeight="1" x14ac:dyDescent="0.25">
      <c r="B117" s="152" t="s">
        <v>572</v>
      </c>
      <c r="C117" s="166" t="s">
        <v>573</v>
      </c>
      <c r="D117" s="166" t="s">
        <v>574</v>
      </c>
      <c r="E117" s="234" t="s">
        <v>575</v>
      </c>
      <c r="F117" s="167" t="s">
        <v>576</v>
      </c>
    </row>
    <row r="118" spans="2:8" ht="35" customHeight="1" x14ac:dyDescent="0.25">
      <c r="B118" s="152" t="s">
        <v>577</v>
      </c>
      <c r="C118" s="166" t="s">
        <v>578</v>
      </c>
      <c r="D118" s="166" t="s">
        <v>579</v>
      </c>
      <c r="E118" s="234" t="s">
        <v>580</v>
      </c>
      <c r="F118" s="167" t="s">
        <v>581</v>
      </c>
    </row>
    <row r="119" spans="2:8" ht="35" customHeight="1" x14ac:dyDescent="0.25">
      <c r="B119" s="152" t="s">
        <v>582</v>
      </c>
      <c r="C119" s="166" t="s">
        <v>583</v>
      </c>
      <c r="D119" s="166" t="s">
        <v>584</v>
      </c>
      <c r="E119" s="234" t="s">
        <v>575</v>
      </c>
      <c r="F119" s="167" t="s">
        <v>585</v>
      </c>
    </row>
    <row r="120" spans="2:8" ht="35" customHeight="1" x14ac:dyDescent="0.25">
      <c r="B120" s="152" t="s">
        <v>586</v>
      </c>
      <c r="C120" s="166" t="s">
        <v>587</v>
      </c>
      <c r="D120" s="166" t="s">
        <v>588</v>
      </c>
      <c r="E120" s="234" t="s">
        <v>580</v>
      </c>
      <c r="F120" s="167" t="s">
        <v>589</v>
      </c>
    </row>
    <row r="121" spans="2:8" ht="35" customHeight="1" x14ac:dyDescent="0.25">
      <c r="B121" s="153" t="s">
        <v>590</v>
      </c>
      <c r="C121" s="171" t="s">
        <v>591</v>
      </c>
      <c r="D121" s="171" t="s">
        <v>592</v>
      </c>
      <c r="E121" s="235" t="s">
        <v>575</v>
      </c>
      <c r="F121" s="172" t="s">
        <v>593</v>
      </c>
    </row>
    <row r="123" spans="2:8" x14ac:dyDescent="0.25">
      <c r="B123" s="287" t="s">
        <v>594</v>
      </c>
      <c r="C123" s="286"/>
      <c r="D123" s="286"/>
      <c r="E123" s="286"/>
      <c r="F123" s="286"/>
      <c r="G123" s="286"/>
      <c r="H123" s="286"/>
    </row>
  </sheetData>
  <mergeCells count="39">
    <mergeCell ref="B1:H1"/>
    <mergeCell ref="B57:H57"/>
    <mergeCell ref="C45:H45"/>
    <mergeCell ref="C13:D13"/>
    <mergeCell ref="C20:H20"/>
    <mergeCell ref="B2:H2"/>
    <mergeCell ref="B48:H48"/>
    <mergeCell ref="B4:H4"/>
    <mergeCell ref="B6:H6"/>
    <mergeCell ref="B5:H5"/>
    <mergeCell ref="B8:H8"/>
    <mergeCell ref="C100:H100"/>
    <mergeCell ref="C12:D12"/>
    <mergeCell ref="C19:H19"/>
    <mergeCell ref="C11:D11"/>
    <mergeCell ref="F11:G11"/>
    <mergeCell ref="B9:H9"/>
    <mergeCell ref="B43:H43"/>
    <mergeCell ref="C104:G104"/>
    <mergeCell ref="C101:H101"/>
    <mergeCell ref="F13:G13"/>
    <mergeCell ref="B67:H67"/>
    <mergeCell ref="C17:G17"/>
    <mergeCell ref="B114:H114"/>
    <mergeCell ref="B123:H123"/>
    <mergeCell ref="C46:H46"/>
    <mergeCell ref="F12:G12"/>
    <mergeCell ref="B79:H79"/>
    <mergeCell ref="C103:G103"/>
    <mergeCell ref="C16:G16"/>
    <mergeCell ref="B84:H84"/>
    <mergeCell ref="B68:H68"/>
    <mergeCell ref="C15:G15"/>
    <mergeCell ref="B106:H106"/>
    <mergeCell ref="B91:H91"/>
    <mergeCell ref="C82:H82"/>
    <mergeCell ref="B31:H31"/>
    <mergeCell ref="C81:H81"/>
    <mergeCell ref="B58:H58"/>
  </mergeCells>
  <pageMargins left="0.7" right="0.7" top="0.75" bottom="0.75" header="0.3" footer="0.3"/>
  <pageSetup paperSize="0" scale="0" orientation="landscape"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5"/>
  <sheetViews>
    <sheetView zoomScale="97" zoomScaleNormal="70" workbookViewId="0">
      <selection activeCell="C9" sqref="C9"/>
    </sheetView>
  </sheetViews>
  <sheetFormatPr baseColWidth="10" defaultColWidth="8.83203125" defaultRowHeight="15" x14ac:dyDescent="0.2"/>
  <cols>
    <col min="1" max="1" width="3.1640625" customWidth="1"/>
    <col min="3" max="3" width="33.6640625" customWidth="1"/>
    <col min="4" max="4" width="32.6640625" customWidth="1"/>
    <col min="6" max="6" width="30.83203125" customWidth="1"/>
    <col min="7" max="7" width="32.6640625" customWidth="1"/>
  </cols>
  <sheetData>
    <row r="2" spans="2:7" ht="16" x14ac:dyDescent="0.2">
      <c r="B2" s="8" t="s">
        <v>595</v>
      </c>
      <c r="C2" s="8" t="s">
        <v>596</v>
      </c>
      <c r="D2" s="8" t="s">
        <v>597</v>
      </c>
      <c r="E2" s="2" t="s">
        <v>598</v>
      </c>
      <c r="F2" s="2" t="s">
        <v>599</v>
      </c>
      <c r="G2" s="8"/>
    </row>
    <row r="3" spans="2:7" ht="16" x14ac:dyDescent="0.2">
      <c r="B3" s="9">
        <v>1</v>
      </c>
      <c r="C3" s="9" t="s">
        <v>600</v>
      </c>
      <c r="D3" s="9" t="s">
        <v>601</v>
      </c>
      <c r="E3" s="1" t="s">
        <v>602</v>
      </c>
      <c r="F3" s="1" t="s">
        <v>603</v>
      </c>
      <c r="G3" s="9"/>
    </row>
    <row r="4" spans="2:7" ht="16" x14ac:dyDescent="0.2">
      <c r="B4" s="9">
        <v>2</v>
      </c>
      <c r="C4" s="9" t="s">
        <v>604</v>
      </c>
      <c r="D4" s="9" t="s">
        <v>605</v>
      </c>
      <c r="E4" s="1" t="s">
        <v>606</v>
      </c>
      <c r="F4" s="1" t="s">
        <v>603</v>
      </c>
      <c r="G4" s="9"/>
    </row>
    <row r="5" spans="2:7" ht="16" x14ac:dyDescent="0.2">
      <c r="B5" s="9">
        <v>3</v>
      </c>
      <c r="C5" s="9" t="s">
        <v>607</v>
      </c>
      <c r="D5" s="9" t="s">
        <v>608</v>
      </c>
      <c r="E5" s="1" t="s">
        <v>609</v>
      </c>
      <c r="F5" s="1" t="s">
        <v>603</v>
      </c>
      <c r="G5" s="9"/>
    </row>
    <row r="6" spans="2:7" ht="16" x14ac:dyDescent="0.2">
      <c r="B6" s="9">
        <v>4</v>
      </c>
      <c r="C6" s="9" t="s">
        <v>610</v>
      </c>
      <c r="D6" s="9" t="s">
        <v>611</v>
      </c>
      <c r="E6" s="1" t="s">
        <v>612</v>
      </c>
      <c r="F6" s="1" t="s">
        <v>603</v>
      </c>
      <c r="G6" s="9"/>
    </row>
    <row r="7" spans="2:7" ht="16" x14ac:dyDescent="0.2">
      <c r="B7" s="9">
        <v>5</v>
      </c>
      <c r="C7" s="9" t="s">
        <v>613</v>
      </c>
      <c r="D7" s="9" t="s">
        <v>614</v>
      </c>
      <c r="E7" s="1" t="s">
        <v>615</v>
      </c>
      <c r="F7" s="1" t="s">
        <v>616</v>
      </c>
      <c r="G7" s="9"/>
    </row>
    <row r="8" spans="2:7" ht="16" x14ac:dyDescent="0.2">
      <c r="B8" s="9">
        <v>6</v>
      </c>
      <c r="C8" s="9" t="s">
        <v>617</v>
      </c>
      <c r="D8" s="9" t="s">
        <v>618</v>
      </c>
      <c r="E8" s="1" t="s">
        <v>619</v>
      </c>
      <c r="F8" s="1" t="s">
        <v>616</v>
      </c>
      <c r="G8" s="9"/>
    </row>
    <row r="9" spans="2:7" ht="16" x14ac:dyDescent="0.2">
      <c r="B9" s="9">
        <v>7</v>
      </c>
      <c r="C9" s="9" t="s">
        <v>620</v>
      </c>
      <c r="D9" s="9" t="s">
        <v>611</v>
      </c>
      <c r="E9" s="1" t="s">
        <v>621</v>
      </c>
      <c r="F9" s="1" t="s">
        <v>616</v>
      </c>
      <c r="G9" s="9"/>
    </row>
    <row r="10" spans="2:7" ht="16" x14ac:dyDescent="0.2">
      <c r="B10" s="9">
        <v>8</v>
      </c>
      <c r="C10" s="9" t="s">
        <v>622</v>
      </c>
      <c r="D10" s="9" t="s">
        <v>623</v>
      </c>
      <c r="E10" s="1" t="s">
        <v>624</v>
      </c>
      <c r="F10" s="1" t="s">
        <v>616</v>
      </c>
      <c r="G10" s="9"/>
    </row>
    <row r="11" spans="2:7" ht="16" x14ac:dyDescent="0.2">
      <c r="B11" s="9">
        <v>9</v>
      </c>
      <c r="C11" s="9" t="s">
        <v>625</v>
      </c>
      <c r="D11" s="9" t="s">
        <v>626</v>
      </c>
      <c r="E11" s="1" t="s">
        <v>627</v>
      </c>
      <c r="F11" s="1" t="s">
        <v>616</v>
      </c>
      <c r="G11" s="9"/>
    </row>
    <row r="12" spans="2:7" ht="16" x14ac:dyDescent="0.2">
      <c r="B12" s="9">
        <v>10</v>
      </c>
      <c r="C12" s="9" t="s">
        <v>628</v>
      </c>
      <c r="D12" s="9" t="s">
        <v>629</v>
      </c>
      <c r="E12" s="1" t="s">
        <v>630</v>
      </c>
      <c r="F12" s="1" t="s">
        <v>616</v>
      </c>
      <c r="G12" s="9"/>
    </row>
    <row r="13" spans="2:7" ht="16" x14ac:dyDescent="0.2">
      <c r="B13" s="9">
        <v>11</v>
      </c>
      <c r="C13" s="9" t="s">
        <v>631</v>
      </c>
      <c r="D13" s="9" t="s">
        <v>632</v>
      </c>
      <c r="E13" s="1" t="s">
        <v>633</v>
      </c>
      <c r="F13" s="1" t="s">
        <v>634</v>
      </c>
      <c r="G13" s="9"/>
    </row>
    <row r="14" spans="2:7" ht="16" x14ac:dyDescent="0.2">
      <c r="B14" s="9">
        <v>12</v>
      </c>
      <c r="C14" s="9" t="s">
        <v>635</v>
      </c>
      <c r="D14" s="9" t="s">
        <v>636</v>
      </c>
      <c r="E14" s="1" t="s">
        <v>637</v>
      </c>
      <c r="F14" s="137" t="s">
        <v>638</v>
      </c>
      <c r="G14" s="9"/>
    </row>
    <row r="15" spans="2:7" ht="16" x14ac:dyDescent="0.2">
      <c r="B15" s="9">
        <v>13</v>
      </c>
      <c r="C15" s="9" t="s">
        <v>639</v>
      </c>
      <c r="D15" s="9" t="s">
        <v>640</v>
      </c>
      <c r="E15" s="1" t="s">
        <v>641</v>
      </c>
      <c r="F15" s="1" t="s">
        <v>639</v>
      </c>
      <c r="G15" s="9"/>
    </row>
    <row r="16" spans="2:7" ht="16" x14ac:dyDescent="0.2">
      <c r="B16" s="9">
        <v>14</v>
      </c>
      <c r="C16" s="9" t="s">
        <v>642</v>
      </c>
      <c r="D16" s="9" t="s">
        <v>643</v>
      </c>
      <c r="E16" s="1" t="s">
        <v>644</v>
      </c>
      <c r="F16" s="1" t="s">
        <v>642</v>
      </c>
      <c r="G16" s="9"/>
    </row>
    <row r="17" spans="2:7" ht="16" x14ac:dyDescent="0.2">
      <c r="B17" s="9">
        <v>15</v>
      </c>
      <c r="C17" s="9" t="s">
        <v>645</v>
      </c>
      <c r="D17" s="9" t="s">
        <v>646</v>
      </c>
      <c r="E17" s="1" t="s">
        <v>647</v>
      </c>
      <c r="F17" s="1" t="s">
        <v>648</v>
      </c>
      <c r="G17" s="9"/>
    </row>
    <row r="18" spans="2:7" ht="16" x14ac:dyDescent="0.2">
      <c r="B18" s="9">
        <v>16</v>
      </c>
      <c r="C18" s="9" t="s">
        <v>649</v>
      </c>
      <c r="D18" s="9" t="s">
        <v>650</v>
      </c>
      <c r="E18" s="1" t="s">
        <v>651</v>
      </c>
      <c r="F18" s="1" t="s">
        <v>648</v>
      </c>
      <c r="G18" s="9"/>
    </row>
    <row r="19" spans="2:7" ht="16" x14ac:dyDescent="0.2">
      <c r="B19" s="9">
        <v>17</v>
      </c>
      <c r="C19" s="9" t="s">
        <v>652</v>
      </c>
      <c r="D19" s="9" t="s">
        <v>653</v>
      </c>
      <c r="E19" s="1" t="s">
        <v>654</v>
      </c>
      <c r="F19" s="1" t="s">
        <v>652</v>
      </c>
      <c r="G19" s="9"/>
    </row>
    <row r="20" spans="2:7" ht="16" x14ac:dyDescent="0.2">
      <c r="B20" s="9">
        <v>18</v>
      </c>
      <c r="C20" s="9" t="s">
        <v>655</v>
      </c>
      <c r="D20" s="9" t="s">
        <v>656</v>
      </c>
      <c r="E20" s="1" t="s">
        <v>657</v>
      </c>
      <c r="F20" s="1" t="s">
        <v>655</v>
      </c>
      <c r="G20" s="9"/>
    </row>
    <row r="21" spans="2:7" ht="16" x14ac:dyDescent="0.2">
      <c r="B21" s="9">
        <v>19</v>
      </c>
      <c r="C21" s="9" t="s">
        <v>658</v>
      </c>
      <c r="D21" s="9" t="s">
        <v>659</v>
      </c>
      <c r="E21" s="1" t="s">
        <v>660</v>
      </c>
      <c r="F21" s="1" t="s">
        <v>658</v>
      </c>
      <c r="G21" s="9"/>
    </row>
    <row r="22" spans="2:7" ht="16" x14ac:dyDescent="0.2">
      <c r="B22" s="9">
        <v>20</v>
      </c>
      <c r="C22" s="9" t="s">
        <v>661</v>
      </c>
      <c r="D22" s="9" t="s">
        <v>662</v>
      </c>
      <c r="E22" s="1" t="s">
        <v>663</v>
      </c>
      <c r="F22" s="1" t="s">
        <v>664</v>
      </c>
      <c r="G22" s="9"/>
    </row>
    <row r="23" spans="2:7" ht="16" x14ac:dyDescent="0.2">
      <c r="B23" s="9">
        <v>21</v>
      </c>
      <c r="C23" s="9" t="s">
        <v>664</v>
      </c>
      <c r="D23" s="9" t="s">
        <v>662</v>
      </c>
      <c r="E23" s="1" t="s">
        <v>665</v>
      </c>
      <c r="F23" s="1" t="s">
        <v>664</v>
      </c>
      <c r="G23" s="9"/>
    </row>
    <row r="24" spans="2:7" ht="16" x14ac:dyDescent="0.2">
      <c r="B24" s="9">
        <v>22</v>
      </c>
      <c r="C24" s="9" t="s">
        <v>666</v>
      </c>
      <c r="D24" s="9" t="s">
        <v>667</v>
      </c>
      <c r="E24" s="1" t="s">
        <v>668</v>
      </c>
      <c r="F24" s="1" t="s">
        <v>666</v>
      </c>
      <c r="G24" s="9"/>
    </row>
    <row r="25" spans="2:7" ht="16" x14ac:dyDescent="0.2">
      <c r="B25" s="9">
        <v>23</v>
      </c>
      <c r="C25" s="9" t="s">
        <v>669</v>
      </c>
      <c r="D25" s="9" t="s">
        <v>611</v>
      </c>
      <c r="E25" s="1" t="s">
        <v>670</v>
      </c>
      <c r="F25" s="1" t="s">
        <v>671</v>
      </c>
      <c r="G25"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7"/>
  <sheetViews>
    <sheetView topLeftCell="C12" zoomScale="57" zoomScaleNormal="100" workbookViewId="0">
      <selection activeCell="H68" sqref="H68"/>
    </sheetView>
  </sheetViews>
  <sheetFormatPr baseColWidth="10" defaultColWidth="8.83203125" defaultRowHeight="15" x14ac:dyDescent="0.2"/>
  <cols>
    <col min="1" max="1" width="1.83203125" style="237" customWidth="1"/>
    <col min="2" max="2" width="39.33203125" customWidth="1"/>
    <col min="3" max="3" width="45.6640625" customWidth="1"/>
    <col min="4" max="4" width="31" bestFit="1" customWidth="1"/>
    <col min="5" max="5" width="187" customWidth="1"/>
    <col min="6" max="6" width="166.33203125" bestFit="1" customWidth="1"/>
    <col min="7" max="7" width="201.83203125" customWidth="1"/>
    <col min="8" max="8" width="255.6640625" bestFit="1" customWidth="1"/>
  </cols>
  <sheetData>
    <row r="1" spans="2:8" s="237" customFormat="1" ht="10" customHeight="1" x14ac:dyDescent="0.2"/>
    <row r="2" spans="2:8" ht="18.5" customHeight="1" x14ac:dyDescent="0.25">
      <c r="B2" s="238" t="s">
        <v>672</v>
      </c>
    </row>
    <row r="3" spans="2:8" x14ac:dyDescent="0.2">
      <c r="B3" s="239" t="s">
        <v>673</v>
      </c>
    </row>
    <row r="5" spans="2:8" ht="15.5" customHeight="1" x14ac:dyDescent="0.2">
      <c r="B5" s="240" t="s">
        <v>674</v>
      </c>
      <c r="C5" s="241"/>
      <c r="D5" s="241"/>
      <c r="E5" s="241"/>
      <c r="F5" s="241"/>
      <c r="G5" s="241"/>
      <c r="H5" s="241"/>
    </row>
    <row r="6" spans="2:8" x14ac:dyDescent="0.2">
      <c r="B6" s="242" t="s">
        <v>675</v>
      </c>
    </row>
    <row r="8" spans="2:8" x14ac:dyDescent="0.2">
      <c r="B8" s="243" t="s">
        <v>339</v>
      </c>
      <c r="C8" s="244" t="s">
        <v>340</v>
      </c>
      <c r="D8" s="243" t="s">
        <v>341</v>
      </c>
      <c r="E8" s="243" t="s">
        <v>676</v>
      </c>
      <c r="F8" s="243" t="s">
        <v>677</v>
      </c>
      <c r="G8" s="243" t="s">
        <v>678</v>
      </c>
      <c r="H8" s="243" t="s">
        <v>1</v>
      </c>
    </row>
    <row r="9" spans="2:8" x14ac:dyDescent="0.2">
      <c r="B9" s="128">
        <v>1</v>
      </c>
      <c r="C9" t="s">
        <v>346</v>
      </c>
      <c r="D9" s="236">
        <v>0.2</v>
      </c>
      <c r="E9" t="s">
        <v>679</v>
      </c>
      <c r="F9" t="s">
        <v>680</v>
      </c>
      <c r="G9" t="s">
        <v>681</v>
      </c>
      <c r="H9" t="s">
        <v>682</v>
      </c>
    </row>
    <row r="10" spans="2:8" x14ac:dyDescent="0.2">
      <c r="B10" s="128">
        <v>2</v>
      </c>
      <c r="C10" t="s">
        <v>351</v>
      </c>
      <c r="D10" s="236">
        <v>0.25</v>
      </c>
      <c r="E10" t="s">
        <v>683</v>
      </c>
      <c r="F10" t="s">
        <v>684</v>
      </c>
      <c r="G10" t="s">
        <v>685</v>
      </c>
      <c r="H10" t="s">
        <v>686</v>
      </c>
    </row>
    <row r="11" spans="2:8" x14ac:dyDescent="0.2">
      <c r="B11" s="128">
        <v>3</v>
      </c>
      <c r="C11" t="s">
        <v>687</v>
      </c>
      <c r="D11" s="236">
        <v>0.15</v>
      </c>
      <c r="E11" t="s">
        <v>688</v>
      </c>
      <c r="F11" t="s">
        <v>689</v>
      </c>
      <c r="G11" t="s">
        <v>690</v>
      </c>
      <c r="H11" t="s">
        <v>691</v>
      </c>
    </row>
    <row r="12" spans="2:8" x14ac:dyDescent="0.2">
      <c r="B12" s="128">
        <v>4</v>
      </c>
      <c r="C12" t="s">
        <v>361</v>
      </c>
      <c r="D12" s="236">
        <v>0.15</v>
      </c>
      <c r="E12" t="s">
        <v>692</v>
      </c>
      <c r="F12" t="s">
        <v>693</v>
      </c>
      <c r="G12" t="s">
        <v>694</v>
      </c>
      <c r="H12" t="s">
        <v>695</v>
      </c>
    </row>
    <row r="13" spans="2:8" x14ac:dyDescent="0.2">
      <c r="B13" s="128">
        <v>5</v>
      </c>
      <c r="C13" t="s">
        <v>696</v>
      </c>
      <c r="D13" s="236">
        <v>0.1</v>
      </c>
      <c r="E13" t="s">
        <v>697</v>
      </c>
      <c r="F13" t="s">
        <v>698</v>
      </c>
      <c r="G13" t="s">
        <v>699</v>
      </c>
      <c r="H13" t="s">
        <v>700</v>
      </c>
    </row>
    <row r="14" spans="2:8" x14ac:dyDescent="0.2">
      <c r="B14" s="128">
        <v>6</v>
      </c>
      <c r="C14" t="s">
        <v>701</v>
      </c>
      <c r="D14" s="236">
        <v>0.1</v>
      </c>
      <c r="E14" t="s">
        <v>702</v>
      </c>
      <c r="F14" t="s">
        <v>703</v>
      </c>
      <c r="G14" t="s">
        <v>704</v>
      </c>
      <c r="H14" t="s">
        <v>705</v>
      </c>
    </row>
    <row r="15" spans="2:8" x14ac:dyDescent="0.2">
      <c r="B15" s="128">
        <v>7</v>
      </c>
      <c r="C15" t="s">
        <v>706</v>
      </c>
      <c r="D15" s="236">
        <v>0.05</v>
      </c>
      <c r="E15" t="s">
        <v>707</v>
      </c>
      <c r="F15" t="s">
        <v>708</v>
      </c>
      <c r="G15" t="s">
        <v>709</v>
      </c>
      <c r="H15" t="s">
        <v>710</v>
      </c>
    </row>
    <row r="17" spans="2:8" x14ac:dyDescent="0.2">
      <c r="B17" s="245"/>
      <c r="C17" s="245" t="s">
        <v>711</v>
      </c>
      <c r="D17" s="246">
        <f>SUM(D9:D15)</f>
        <v>1</v>
      </c>
    </row>
    <row r="18" spans="2:8" x14ac:dyDescent="0.2">
      <c r="C18" s="247" t="s">
        <v>712</v>
      </c>
      <c r="D18" s="248" t="s">
        <v>713</v>
      </c>
      <c r="E18" t="s">
        <v>714</v>
      </c>
    </row>
    <row r="20" spans="2:8" ht="15.5" customHeight="1" x14ac:dyDescent="0.2">
      <c r="B20" s="249" t="s">
        <v>715</v>
      </c>
      <c r="C20" s="250"/>
      <c r="D20" s="250"/>
      <c r="E20" s="250"/>
      <c r="F20" s="250"/>
      <c r="G20" s="250"/>
      <c r="H20" s="250"/>
    </row>
    <row r="21" spans="2:8" x14ac:dyDescent="0.2">
      <c r="B21" s="242" t="s">
        <v>716</v>
      </c>
    </row>
    <row r="23" spans="2:8" x14ac:dyDescent="0.2">
      <c r="B23" s="242" t="s">
        <v>717</v>
      </c>
    </row>
    <row r="24" spans="2:8" x14ac:dyDescent="0.2">
      <c r="B24" s="242" t="s">
        <v>718</v>
      </c>
    </row>
    <row r="26" spans="2:8" x14ac:dyDescent="0.2">
      <c r="B26" s="251" t="s">
        <v>339</v>
      </c>
      <c r="C26" s="252" t="s">
        <v>719</v>
      </c>
      <c r="D26" s="253" t="s">
        <v>85</v>
      </c>
      <c r="E26" s="253" t="s">
        <v>720</v>
      </c>
      <c r="F26" s="253" t="s">
        <v>721</v>
      </c>
      <c r="G26" s="253" t="s">
        <v>678</v>
      </c>
      <c r="H26" s="253" t="s">
        <v>722</v>
      </c>
    </row>
    <row r="27" spans="2:8" x14ac:dyDescent="0.2">
      <c r="B27" s="128">
        <v>1</v>
      </c>
      <c r="C27" t="s">
        <v>723</v>
      </c>
      <c r="D27" s="128" t="s">
        <v>724</v>
      </c>
      <c r="E27" t="s">
        <v>725</v>
      </c>
      <c r="F27" s="279" t="s">
        <v>726</v>
      </c>
      <c r="G27" t="s">
        <v>727</v>
      </c>
      <c r="H27" s="279" t="s">
        <v>728</v>
      </c>
    </row>
    <row r="28" spans="2:8" x14ac:dyDescent="0.2">
      <c r="B28" s="128">
        <v>2</v>
      </c>
      <c r="C28" t="s">
        <v>729</v>
      </c>
      <c r="D28" s="128" t="s">
        <v>724</v>
      </c>
      <c r="E28" t="s">
        <v>730</v>
      </c>
      <c r="F28" s="279" t="s">
        <v>731</v>
      </c>
      <c r="G28" t="s">
        <v>732</v>
      </c>
      <c r="H28" s="279" t="s">
        <v>733</v>
      </c>
    </row>
    <row r="29" spans="2:8" x14ac:dyDescent="0.2">
      <c r="B29" s="128">
        <v>3</v>
      </c>
      <c r="C29" t="s">
        <v>734</v>
      </c>
      <c r="D29" s="128" t="s">
        <v>724</v>
      </c>
      <c r="E29" t="s">
        <v>735</v>
      </c>
      <c r="F29" s="279" t="s">
        <v>736</v>
      </c>
      <c r="G29" t="s">
        <v>737</v>
      </c>
      <c r="H29" s="279" t="s">
        <v>738</v>
      </c>
    </row>
    <row r="30" spans="2:8" x14ac:dyDescent="0.2">
      <c r="B30" s="128">
        <v>4</v>
      </c>
      <c r="C30" t="s">
        <v>739</v>
      </c>
      <c r="D30" s="128" t="s">
        <v>740</v>
      </c>
      <c r="E30" t="s">
        <v>741</v>
      </c>
      <c r="F30" s="279" t="s">
        <v>742</v>
      </c>
      <c r="G30" t="s">
        <v>743</v>
      </c>
      <c r="H30" s="279" t="s">
        <v>744</v>
      </c>
    </row>
    <row r="31" spans="2:8" x14ac:dyDescent="0.2">
      <c r="B31" s="128">
        <v>5</v>
      </c>
      <c r="C31" t="s">
        <v>745</v>
      </c>
      <c r="D31" s="128" t="s">
        <v>740</v>
      </c>
      <c r="E31" t="s">
        <v>746</v>
      </c>
      <c r="F31" s="279" t="s">
        <v>747</v>
      </c>
      <c r="G31" t="s">
        <v>748</v>
      </c>
      <c r="H31" s="279" t="s">
        <v>749</v>
      </c>
    </row>
    <row r="32" spans="2:8" x14ac:dyDescent="0.2">
      <c r="B32" s="128">
        <v>6</v>
      </c>
      <c r="C32" t="s">
        <v>750</v>
      </c>
      <c r="D32" s="128" t="s">
        <v>740</v>
      </c>
      <c r="E32" t="s">
        <v>751</v>
      </c>
      <c r="F32" s="279" t="s">
        <v>752</v>
      </c>
      <c r="G32" t="s">
        <v>753</v>
      </c>
      <c r="H32" s="279" t="s">
        <v>754</v>
      </c>
    </row>
    <row r="33" spans="2:8" x14ac:dyDescent="0.2">
      <c r="B33" s="128">
        <v>7</v>
      </c>
      <c r="C33" t="s">
        <v>755</v>
      </c>
      <c r="D33" s="128" t="s">
        <v>756</v>
      </c>
      <c r="E33" t="s">
        <v>757</v>
      </c>
      <c r="F33" s="279" t="s">
        <v>758</v>
      </c>
      <c r="G33" t="s">
        <v>759</v>
      </c>
      <c r="H33" s="279" t="s">
        <v>760</v>
      </c>
    </row>
    <row r="34" spans="2:8" x14ac:dyDescent="0.2">
      <c r="B34" s="128">
        <v>8</v>
      </c>
      <c r="C34" t="s">
        <v>761</v>
      </c>
      <c r="D34" s="128" t="s">
        <v>756</v>
      </c>
      <c r="E34" t="s">
        <v>762</v>
      </c>
      <c r="F34" s="279" t="s">
        <v>763</v>
      </c>
      <c r="G34" t="s">
        <v>764</v>
      </c>
      <c r="H34" s="279" t="s">
        <v>765</v>
      </c>
    </row>
    <row r="35" spans="2:8" x14ac:dyDescent="0.2">
      <c r="B35" s="128">
        <v>9</v>
      </c>
      <c r="C35" t="s">
        <v>766</v>
      </c>
      <c r="D35" s="128" t="s">
        <v>756</v>
      </c>
      <c r="E35" t="s">
        <v>767</v>
      </c>
      <c r="F35" s="279" t="s">
        <v>768</v>
      </c>
      <c r="G35" t="s">
        <v>769</v>
      </c>
      <c r="H35" s="279" t="s">
        <v>770</v>
      </c>
    </row>
    <row r="36" spans="2:8" x14ac:dyDescent="0.2">
      <c r="B36" s="128">
        <v>10</v>
      </c>
      <c r="C36" t="s">
        <v>771</v>
      </c>
      <c r="D36" s="128" t="s">
        <v>772</v>
      </c>
      <c r="E36" t="s">
        <v>773</v>
      </c>
      <c r="F36" s="279" t="s">
        <v>774</v>
      </c>
      <c r="G36" t="s">
        <v>775</v>
      </c>
      <c r="H36" s="279" t="s">
        <v>776</v>
      </c>
    </row>
    <row r="37" spans="2:8" x14ac:dyDescent="0.2">
      <c r="B37" s="128">
        <v>11</v>
      </c>
      <c r="C37" t="s">
        <v>777</v>
      </c>
      <c r="D37" s="128" t="s">
        <v>772</v>
      </c>
      <c r="E37" t="s">
        <v>778</v>
      </c>
      <c r="F37" s="279" t="s">
        <v>779</v>
      </c>
      <c r="G37" t="s">
        <v>780</v>
      </c>
      <c r="H37" s="279" t="s">
        <v>781</v>
      </c>
    </row>
    <row r="38" spans="2:8" x14ac:dyDescent="0.2">
      <c r="B38" s="128">
        <v>12</v>
      </c>
      <c r="C38" t="s">
        <v>782</v>
      </c>
      <c r="D38" s="128" t="s">
        <v>772</v>
      </c>
      <c r="E38" t="s">
        <v>783</v>
      </c>
      <c r="F38" s="279" t="s">
        <v>784</v>
      </c>
      <c r="G38" t="s">
        <v>785</v>
      </c>
      <c r="H38" s="279" t="s">
        <v>786</v>
      </c>
    </row>
    <row r="39" spans="2:8" x14ac:dyDescent="0.2">
      <c r="B39" s="128">
        <v>13</v>
      </c>
      <c r="C39" t="s">
        <v>421</v>
      </c>
      <c r="D39" s="128" t="s">
        <v>787</v>
      </c>
      <c r="E39" t="s">
        <v>788</v>
      </c>
      <c r="F39" s="279" t="s">
        <v>789</v>
      </c>
      <c r="G39" t="s">
        <v>790</v>
      </c>
      <c r="H39" s="279" t="s">
        <v>791</v>
      </c>
    </row>
    <row r="40" spans="2:8" x14ac:dyDescent="0.2">
      <c r="B40" s="128">
        <v>14</v>
      </c>
      <c r="C40" t="s">
        <v>792</v>
      </c>
      <c r="D40" s="128" t="s">
        <v>787</v>
      </c>
      <c r="E40" t="s">
        <v>793</v>
      </c>
      <c r="F40" s="279" t="s">
        <v>794</v>
      </c>
      <c r="G40" t="s">
        <v>795</v>
      </c>
      <c r="H40" s="279" t="s">
        <v>796</v>
      </c>
    </row>
    <row r="41" spans="2:8" x14ac:dyDescent="0.2">
      <c r="B41" s="128">
        <v>15</v>
      </c>
      <c r="C41" t="s">
        <v>797</v>
      </c>
      <c r="D41" s="128" t="s">
        <v>787</v>
      </c>
      <c r="E41" t="s">
        <v>798</v>
      </c>
      <c r="F41" s="279" t="s">
        <v>799</v>
      </c>
      <c r="G41" t="s">
        <v>800</v>
      </c>
      <c r="H41" s="279" t="s">
        <v>801</v>
      </c>
    </row>
    <row r="43" spans="2:8" ht="15.5" customHeight="1" x14ac:dyDescent="0.2">
      <c r="B43" s="254" t="s">
        <v>802</v>
      </c>
      <c r="C43" s="255"/>
      <c r="D43" s="255"/>
      <c r="E43" s="255"/>
      <c r="F43" s="255"/>
      <c r="G43" s="255"/>
      <c r="H43" s="255"/>
    </row>
    <row r="45" spans="2:8" x14ac:dyDescent="0.2">
      <c r="B45" s="256" t="s">
        <v>0</v>
      </c>
      <c r="C45" s="257" t="s">
        <v>568</v>
      </c>
      <c r="D45" s="256" t="s">
        <v>341</v>
      </c>
      <c r="E45" s="257" t="s">
        <v>803</v>
      </c>
      <c r="F45" s="257" t="s">
        <v>571</v>
      </c>
      <c r="G45" s="257" t="s">
        <v>804</v>
      </c>
      <c r="H45" s="257" t="s">
        <v>805</v>
      </c>
    </row>
    <row r="46" spans="2:8" x14ac:dyDescent="0.2">
      <c r="B46" s="122">
        <v>1</v>
      </c>
      <c r="C46" t="s">
        <v>806</v>
      </c>
      <c r="D46" s="128" t="s">
        <v>807</v>
      </c>
      <c r="E46" t="s">
        <v>808</v>
      </c>
      <c r="F46" t="s">
        <v>809</v>
      </c>
      <c r="G46" t="s">
        <v>810</v>
      </c>
      <c r="H46" t="s">
        <v>811</v>
      </c>
    </row>
    <row r="47" spans="2:8" x14ac:dyDescent="0.2">
      <c r="B47" s="122">
        <v>2</v>
      </c>
      <c r="C47" t="s">
        <v>812</v>
      </c>
      <c r="D47" s="128" t="s">
        <v>813</v>
      </c>
      <c r="E47" t="s">
        <v>814</v>
      </c>
      <c r="F47" t="s">
        <v>815</v>
      </c>
      <c r="G47" t="s">
        <v>816</v>
      </c>
      <c r="H47" t="s">
        <v>817</v>
      </c>
    </row>
    <row r="48" spans="2:8" x14ac:dyDescent="0.2">
      <c r="B48" s="122">
        <v>3</v>
      </c>
      <c r="C48" t="s">
        <v>818</v>
      </c>
      <c r="D48" s="128" t="s">
        <v>819</v>
      </c>
      <c r="E48" t="s">
        <v>820</v>
      </c>
      <c r="F48" t="s">
        <v>821</v>
      </c>
      <c r="G48" t="s">
        <v>822</v>
      </c>
      <c r="H48" t="s">
        <v>823</v>
      </c>
    </row>
    <row r="50" spans="2:8" ht="15.5" customHeight="1" x14ac:dyDescent="0.2">
      <c r="B50" s="258" t="s">
        <v>824</v>
      </c>
      <c r="C50" s="259"/>
      <c r="D50" s="259"/>
      <c r="E50" s="259"/>
      <c r="F50" s="259"/>
      <c r="G50" s="259"/>
      <c r="H50" s="259"/>
    </row>
    <row r="52" spans="2:8" x14ac:dyDescent="0.2">
      <c r="B52" s="260" t="s">
        <v>501</v>
      </c>
      <c r="C52" s="260" t="s">
        <v>825</v>
      </c>
      <c r="D52" s="260" t="s">
        <v>826</v>
      </c>
      <c r="E52" s="260" t="s">
        <v>827</v>
      </c>
      <c r="F52" s="260" t="s">
        <v>828</v>
      </c>
      <c r="G52" s="260" t="s">
        <v>568</v>
      </c>
      <c r="H52" s="260" t="s">
        <v>829</v>
      </c>
    </row>
    <row r="53" spans="2:8" x14ac:dyDescent="0.2">
      <c r="B53" s="261" t="s">
        <v>507</v>
      </c>
      <c r="C53" s="262" t="s">
        <v>508</v>
      </c>
      <c r="D53" s="263" t="s">
        <v>830</v>
      </c>
      <c r="E53" t="s">
        <v>831</v>
      </c>
      <c r="F53" t="s">
        <v>832</v>
      </c>
      <c r="G53" t="s">
        <v>833</v>
      </c>
      <c r="H53" t="s">
        <v>834</v>
      </c>
    </row>
    <row r="54" spans="2:8" x14ac:dyDescent="0.2">
      <c r="B54" s="264" t="s">
        <v>514</v>
      </c>
      <c r="C54" s="265" t="s">
        <v>515</v>
      </c>
      <c r="D54" s="266" t="s">
        <v>835</v>
      </c>
      <c r="E54" t="s">
        <v>836</v>
      </c>
      <c r="F54" t="s">
        <v>837</v>
      </c>
      <c r="G54" t="s">
        <v>838</v>
      </c>
      <c r="H54" t="s">
        <v>839</v>
      </c>
    </row>
    <row r="55" spans="2:8" x14ac:dyDescent="0.2">
      <c r="B55" s="267" t="s">
        <v>521</v>
      </c>
      <c r="C55" s="268" t="s">
        <v>522</v>
      </c>
      <c r="D55" s="256" t="s">
        <v>840</v>
      </c>
      <c r="E55" t="s">
        <v>841</v>
      </c>
      <c r="F55" t="s">
        <v>842</v>
      </c>
      <c r="G55" t="s">
        <v>843</v>
      </c>
      <c r="H55" t="s">
        <v>844</v>
      </c>
    </row>
    <row r="56" spans="2:8" x14ac:dyDescent="0.2">
      <c r="B56" s="269" t="s">
        <v>528</v>
      </c>
      <c r="C56" s="270" t="s">
        <v>529</v>
      </c>
      <c r="D56" s="271" t="s">
        <v>845</v>
      </c>
      <c r="E56" t="s">
        <v>846</v>
      </c>
      <c r="F56" t="s">
        <v>847</v>
      </c>
      <c r="G56" t="s">
        <v>848</v>
      </c>
      <c r="H56" t="s">
        <v>849</v>
      </c>
    </row>
    <row r="57" spans="2:8" x14ac:dyDescent="0.2">
      <c r="B57" s="272" t="s">
        <v>535</v>
      </c>
      <c r="C57" s="273" t="s">
        <v>536</v>
      </c>
      <c r="D57" s="272" t="s">
        <v>850</v>
      </c>
      <c r="E57" t="s">
        <v>851</v>
      </c>
      <c r="F57" t="s">
        <v>852</v>
      </c>
      <c r="G57" t="s">
        <v>853</v>
      </c>
      <c r="H57" t="s">
        <v>854</v>
      </c>
    </row>
    <row r="59" spans="2:8" ht="15.5" customHeight="1" x14ac:dyDescent="0.2">
      <c r="B59" s="274" t="s">
        <v>855</v>
      </c>
      <c r="C59" s="275"/>
      <c r="D59" s="275"/>
      <c r="E59" s="275"/>
      <c r="F59" s="275"/>
      <c r="G59" s="275"/>
      <c r="H59" s="275"/>
    </row>
    <row r="60" spans="2:8" x14ac:dyDescent="0.2">
      <c r="B60" s="242" t="s">
        <v>856</v>
      </c>
    </row>
    <row r="62" spans="2:8" x14ac:dyDescent="0.2">
      <c r="B62" s="276" t="s">
        <v>857</v>
      </c>
      <c r="C62" s="276" t="s">
        <v>858</v>
      </c>
      <c r="D62" s="276" t="s">
        <v>859</v>
      </c>
      <c r="E62" s="276" t="s">
        <v>860</v>
      </c>
      <c r="F62" s="276" t="s">
        <v>861</v>
      </c>
      <c r="G62" s="276" t="s">
        <v>862</v>
      </c>
      <c r="H62" s="276" t="s">
        <v>863</v>
      </c>
    </row>
    <row r="63" spans="2:8" x14ac:dyDescent="0.2">
      <c r="B63" s="245" t="s">
        <v>600</v>
      </c>
      <c r="C63" t="s">
        <v>864</v>
      </c>
      <c r="D63" t="s">
        <v>865</v>
      </c>
      <c r="E63" t="s">
        <v>866</v>
      </c>
      <c r="F63" t="s">
        <v>867</v>
      </c>
      <c r="G63" t="s">
        <v>868</v>
      </c>
      <c r="H63" t="s">
        <v>869</v>
      </c>
    </row>
    <row r="64" spans="2:8" x14ac:dyDescent="0.2">
      <c r="B64" s="245" t="s">
        <v>604</v>
      </c>
      <c r="C64" t="s">
        <v>870</v>
      </c>
      <c r="D64" t="s">
        <v>871</v>
      </c>
      <c r="E64" t="s">
        <v>872</v>
      </c>
      <c r="F64" t="s">
        <v>867</v>
      </c>
      <c r="G64" t="s">
        <v>868</v>
      </c>
      <c r="H64" t="s">
        <v>869</v>
      </c>
    </row>
    <row r="65" spans="2:8" x14ac:dyDescent="0.2">
      <c r="B65" s="245" t="s">
        <v>607</v>
      </c>
      <c r="C65" t="s">
        <v>873</v>
      </c>
      <c r="D65" t="s">
        <v>874</v>
      </c>
      <c r="E65" t="s">
        <v>875</v>
      </c>
      <c r="F65" t="s">
        <v>868</v>
      </c>
      <c r="G65" t="s">
        <v>876</v>
      </c>
      <c r="H65" t="s">
        <v>877</v>
      </c>
    </row>
    <row r="66" spans="2:8" x14ac:dyDescent="0.2">
      <c r="B66" s="245" t="s">
        <v>610</v>
      </c>
      <c r="C66" t="s">
        <v>878</v>
      </c>
      <c r="D66" t="s">
        <v>879</v>
      </c>
      <c r="E66" t="s">
        <v>875</v>
      </c>
      <c r="F66" t="s">
        <v>880</v>
      </c>
      <c r="G66" t="s">
        <v>881</v>
      </c>
      <c r="H66" t="s">
        <v>876</v>
      </c>
    </row>
    <row r="67" spans="2:8" x14ac:dyDescent="0.2">
      <c r="B67" s="245" t="s">
        <v>613</v>
      </c>
      <c r="C67" t="s">
        <v>882</v>
      </c>
      <c r="D67" t="s">
        <v>864</v>
      </c>
      <c r="E67" t="s">
        <v>879</v>
      </c>
      <c r="F67" t="s">
        <v>883</v>
      </c>
      <c r="G67" t="s">
        <v>868</v>
      </c>
      <c r="H67" t="s">
        <v>869</v>
      </c>
    </row>
    <row r="68" spans="2:8" x14ac:dyDescent="0.2">
      <c r="B68" s="245" t="s">
        <v>617</v>
      </c>
      <c r="C68" t="s">
        <v>884</v>
      </c>
      <c r="D68" t="s">
        <v>885</v>
      </c>
      <c r="E68" t="s">
        <v>886</v>
      </c>
      <c r="F68" t="s">
        <v>868</v>
      </c>
      <c r="G68" t="s">
        <v>876</v>
      </c>
      <c r="H68" t="s">
        <v>887</v>
      </c>
    </row>
    <row r="69" spans="2:8" x14ac:dyDescent="0.2">
      <c r="B69" s="245" t="s">
        <v>620</v>
      </c>
      <c r="C69" t="s">
        <v>888</v>
      </c>
      <c r="D69" t="s">
        <v>879</v>
      </c>
      <c r="E69" t="s">
        <v>889</v>
      </c>
      <c r="F69" t="s">
        <v>890</v>
      </c>
      <c r="G69" t="s">
        <v>867</v>
      </c>
      <c r="H69" t="s">
        <v>876</v>
      </c>
    </row>
    <row r="70" spans="2:8" x14ac:dyDescent="0.2">
      <c r="B70" s="245" t="s">
        <v>891</v>
      </c>
      <c r="C70" t="s">
        <v>892</v>
      </c>
      <c r="D70" t="s">
        <v>864</v>
      </c>
      <c r="E70" t="s">
        <v>882</v>
      </c>
      <c r="F70" t="s">
        <v>868</v>
      </c>
      <c r="G70" t="s">
        <v>869</v>
      </c>
      <c r="H70" t="s">
        <v>877</v>
      </c>
    </row>
    <row r="71" spans="2:8" x14ac:dyDescent="0.2">
      <c r="B71" s="245" t="s">
        <v>625</v>
      </c>
      <c r="C71" t="s">
        <v>893</v>
      </c>
      <c r="D71" t="s">
        <v>886</v>
      </c>
      <c r="E71" t="s">
        <v>890</v>
      </c>
      <c r="F71" t="s">
        <v>894</v>
      </c>
      <c r="G71" t="s">
        <v>895</v>
      </c>
      <c r="H71" t="s">
        <v>876</v>
      </c>
    </row>
    <row r="72" spans="2:8" x14ac:dyDescent="0.2">
      <c r="B72" s="245" t="s">
        <v>628</v>
      </c>
      <c r="C72" t="s">
        <v>884</v>
      </c>
      <c r="D72" t="s">
        <v>871</v>
      </c>
      <c r="E72" t="s">
        <v>886</v>
      </c>
      <c r="F72" t="s">
        <v>896</v>
      </c>
      <c r="G72" t="s">
        <v>881</v>
      </c>
      <c r="H72" t="s">
        <v>877</v>
      </c>
    </row>
    <row r="73" spans="2:8" x14ac:dyDescent="0.2">
      <c r="B73" s="245" t="s">
        <v>631</v>
      </c>
      <c r="C73" t="s">
        <v>879</v>
      </c>
      <c r="D73" t="s">
        <v>875</v>
      </c>
      <c r="E73" t="s">
        <v>874</v>
      </c>
      <c r="F73" t="s">
        <v>868</v>
      </c>
      <c r="G73" t="s">
        <v>894</v>
      </c>
      <c r="H73" t="s">
        <v>876</v>
      </c>
    </row>
    <row r="74" spans="2:8" x14ac:dyDescent="0.2">
      <c r="B74" s="245" t="s">
        <v>897</v>
      </c>
      <c r="C74" t="s">
        <v>898</v>
      </c>
      <c r="D74" t="s">
        <v>870</v>
      </c>
      <c r="E74" t="s">
        <v>880</v>
      </c>
      <c r="F74" t="s">
        <v>868</v>
      </c>
      <c r="G74" t="s">
        <v>887</v>
      </c>
      <c r="H74" t="s">
        <v>899</v>
      </c>
    </row>
    <row r="75" spans="2:8" x14ac:dyDescent="0.2">
      <c r="B75" s="245" t="s">
        <v>639</v>
      </c>
      <c r="C75" t="s">
        <v>900</v>
      </c>
      <c r="D75" t="s">
        <v>901</v>
      </c>
      <c r="E75" t="s">
        <v>902</v>
      </c>
      <c r="F75" t="s">
        <v>895</v>
      </c>
      <c r="G75" t="s">
        <v>880</v>
      </c>
      <c r="H75" t="s">
        <v>903</v>
      </c>
    </row>
    <row r="76" spans="2:8" x14ac:dyDescent="0.2">
      <c r="B76" s="245" t="s">
        <v>642</v>
      </c>
      <c r="C76" t="s">
        <v>904</v>
      </c>
      <c r="D76" t="s">
        <v>865</v>
      </c>
      <c r="E76" t="s">
        <v>894</v>
      </c>
      <c r="F76" t="s">
        <v>890</v>
      </c>
      <c r="G76" t="s">
        <v>889</v>
      </c>
      <c r="H76" t="s">
        <v>869</v>
      </c>
    </row>
    <row r="77" spans="2:8" x14ac:dyDescent="0.2">
      <c r="B77" s="245" t="s">
        <v>645</v>
      </c>
      <c r="C77" t="s">
        <v>905</v>
      </c>
      <c r="D77" t="s">
        <v>901</v>
      </c>
      <c r="E77" t="s">
        <v>872</v>
      </c>
      <c r="F77" t="s">
        <v>902</v>
      </c>
      <c r="G77" t="s">
        <v>895</v>
      </c>
      <c r="H77" t="s">
        <v>906</v>
      </c>
    </row>
    <row r="78" spans="2:8" x14ac:dyDescent="0.2">
      <c r="B78" s="245" t="s">
        <v>649</v>
      </c>
      <c r="C78" t="s">
        <v>864</v>
      </c>
      <c r="D78" t="s">
        <v>865</v>
      </c>
      <c r="E78" t="s">
        <v>868</v>
      </c>
      <c r="F78" t="s">
        <v>907</v>
      </c>
      <c r="G78" t="s">
        <v>872</v>
      </c>
      <c r="H78" t="s">
        <v>889</v>
      </c>
    </row>
    <row r="79" spans="2:8" x14ac:dyDescent="0.2">
      <c r="B79" s="245" t="s">
        <v>652</v>
      </c>
      <c r="C79" t="s">
        <v>908</v>
      </c>
      <c r="D79" t="s">
        <v>909</v>
      </c>
      <c r="E79" t="s">
        <v>865</v>
      </c>
      <c r="F79" t="s">
        <v>902</v>
      </c>
      <c r="G79" t="s">
        <v>910</v>
      </c>
      <c r="H79" t="s">
        <v>881</v>
      </c>
    </row>
    <row r="80" spans="2:8" x14ac:dyDescent="0.2">
      <c r="B80" s="245" t="s">
        <v>655</v>
      </c>
      <c r="C80" t="s">
        <v>911</v>
      </c>
      <c r="D80" t="s">
        <v>871</v>
      </c>
      <c r="E80" t="s">
        <v>890</v>
      </c>
      <c r="F80" t="s">
        <v>868</v>
      </c>
      <c r="G80" t="s">
        <v>880</v>
      </c>
      <c r="H80" t="s">
        <v>903</v>
      </c>
    </row>
    <row r="81" spans="2:8" x14ac:dyDescent="0.2">
      <c r="B81" s="245" t="s">
        <v>658</v>
      </c>
      <c r="C81" t="s">
        <v>900</v>
      </c>
      <c r="D81" t="s">
        <v>871</v>
      </c>
      <c r="E81" t="s">
        <v>912</v>
      </c>
      <c r="F81" t="s">
        <v>868</v>
      </c>
      <c r="G81" t="s">
        <v>880</v>
      </c>
      <c r="H81" t="s">
        <v>913</v>
      </c>
    </row>
    <row r="82" spans="2:8" x14ac:dyDescent="0.2">
      <c r="B82" s="245" t="s">
        <v>661</v>
      </c>
      <c r="C82" t="s">
        <v>905</v>
      </c>
      <c r="D82" t="s">
        <v>879</v>
      </c>
      <c r="E82" t="s">
        <v>874</v>
      </c>
      <c r="F82" t="s">
        <v>894</v>
      </c>
      <c r="G82" t="s">
        <v>881</v>
      </c>
      <c r="H82" t="s">
        <v>876</v>
      </c>
    </row>
    <row r="83" spans="2:8" x14ac:dyDescent="0.2">
      <c r="B83" s="245" t="s">
        <v>664</v>
      </c>
      <c r="C83" t="s">
        <v>900</v>
      </c>
      <c r="D83" t="s">
        <v>875</v>
      </c>
      <c r="E83" t="s">
        <v>872</v>
      </c>
      <c r="F83" t="s">
        <v>867</v>
      </c>
      <c r="G83" t="s">
        <v>902</v>
      </c>
      <c r="H83" t="s">
        <v>881</v>
      </c>
    </row>
    <row r="84" spans="2:8" x14ac:dyDescent="0.2">
      <c r="B84" s="245" t="s">
        <v>666</v>
      </c>
      <c r="C84" t="s">
        <v>914</v>
      </c>
      <c r="D84" t="s">
        <v>915</v>
      </c>
      <c r="E84" t="s">
        <v>916</v>
      </c>
      <c r="F84" t="s">
        <v>902</v>
      </c>
      <c r="G84" t="s">
        <v>869</v>
      </c>
      <c r="H84" t="s">
        <v>917</v>
      </c>
    </row>
    <row r="85" spans="2:8" x14ac:dyDescent="0.2">
      <c r="B85" s="245" t="s">
        <v>669</v>
      </c>
      <c r="C85" t="s">
        <v>905</v>
      </c>
      <c r="D85" t="s">
        <v>879</v>
      </c>
      <c r="E85" t="s">
        <v>867</v>
      </c>
      <c r="F85" t="s">
        <v>896</v>
      </c>
      <c r="G85" t="s">
        <v>883</v>
      </c>
      <c r="H85" t="s">
        <v>869</v>
      </c>
    </row>
    <row r="87" spans="2:8" ht="15.5" customHeight="1" x14ac:dyDescent="0.2">
      <c r="B87" s="277" t="s">
        <v>918</v>
      </c>
      <c r="C87" s="278"/>
      <c r="D87" s="278"/>
      <c r="E87" s="278"/>
      <c r="F87" s="278"/>
      <c r="G87" s="278"/>
      <c r="H87" s="278"/>
    </row>
    <row r="89" spans="2:8" x14ac:dyDescent="0.2">
      <c r="B89" s="245" t="s">
        <v>919</v>
      </c>
      <c r="C89" t="s">
        <v>920</v>
      </c>
    </row>
    <row r="91" spans="2:8" x14ac:dyDescent="0.2">
      <c r="B91" s="245" t="s">
        <v>921</v>
      </c>
      <c r="C91" t="s">
        <v>922</v>
      </c>
    </row>
    <row r="93" spans="2:8" x14ac:dyDescent="0.2">
      <c r="B93" s="245" t="s">
        <v>923</v>
      </c>
      <c r="C93" t="s">
        <v>924</v>
      </c>
    </row>
    <row r="95" spans="2:8" x14ac:dyDescent="0.2">
      <c r="B95" s="245" t="s">
        <v>925</v>
      </c>
      <c r="C95" t="s">
        <v>926</v>
      </c>
    </row>
    <row r="97" spans="2:3" x14ac:dyDescent="0.2">
      <c r="B97" s="245" t="s">
        <v>927</v>
      </c>
      <c r="C97" t="s">
        <v>928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58"/>
  <sheetViews>
    <sheetView topLeftCell="A16" zoomScale="82" zoomScaleNormal="100" workbookViewId="0">
      <selection activeCell="G34" sqref="G34"/>
    </sheetView>
  </sheetViews>
  <sheetFormatPr baseColWidth="10" defaultColWidth="8.83203125" defaultRowHeight="15" x14ac:dyDescent="0.2"/>
  <cols>
    <col min="2" max="2" width="7.33203125" customWidth="1"/>
    <col min="3" max="3" width="32.6640625" customWidth="1"/>
    <col min="5" max="5" width="32.6640625" customWidth="1"/>
    <col min="6" max="6" width="10.83203125" customWidth="1"/>
    <col min="7" max="7" width="32.6640625" customWidth="1"/>
    <col min="8" max="8" width="236" bestFit="1" customWidth="1"/>
  </cols>
  <sheetData>
    <row r="2" spans="2:8" x14ac:dyDescent="0.2">
      <c r="B2" s="1" t="s">
        <v>81</v>
      </c>
      <c r="C2" s="138" t="s">
        <v>929</v>
      </c>
      <c r="E2" s="12" t="s">
        <v>930</v>
      </c>
      <c r="F2" s="12" t="s">
        <v>341</v>
      </c>
      <c r="G2" s="12" t="s">
        <v>931</v>
      </c>
      <c r="H2" s="12" t="s">
        <v>1</v>
      </c>
    </row>
    <row r="3" spans="2:8" x14ac:dyDescent="0.2">
      <c r="B3" s="1">
        <v>1</v>
      </c>
      <c r="C3" s="1" t="s">
        <v>932</v>
      </c>
      <c r="E3" s="1" t="s">
        <v>933</v>
      </c>
      <c r="F3" s="16">
        <v>0.12</v>
      </c>
      <c r="G3" s="1" t="s">
        <v>934</v>
      </c>
      <c r="H3" s="1" t="s">
        <v>935</v>
      </c>
    </row>
    <row r="4" spans="2:8" x14ac:dyDescent="0.2">
      <c r="B4" s="1">
        <v>2</v>
      </c>
      <c r="C4" s="1" t="s">
        <v>936</v>
      </c>
      <c r="E4" s="1" t="s">
        <v>937</v>
      </c>
      <c r="F4" s="16">
        <v>0.15</v>
      </c>
      <c r="G4" s="1" t="s">
        <v>938</v>
      </c>
      <c r="H4" s="1" t="s">
        <v>939</v>
      </c>
    </row>
    <row r="5" spans="2:8" x14ac:dyDescent="0.2">
      <c r="B5" s="1">
        <v>3</v>
      </c>
      <c r="C5" s="1" t="s">
        <v>940</v>
      </c>
      <c r="E5" s="1" t="s">
        <v>941</v>
      </c>
      <c r="F5" s="16">
        <v>0.12</v>
      </c>
      <c r="G5" s="1" t="s">
        <v>942</v>
      </c>
      <c r="H5" s="1" t="s">
        <v>943</v>
      </c>
    </row>
    <row r="6" spans="2:8" x14ac:dyDescent="0.2">
      <c r="B6" s="1">
        <v>4</v>
      </c>
      <c r="C6" s="1" t="s">
        <v>944</v>
      </c>
      <c r="E6" s="1" t="s">
        <v>945</v>
      </c>
      <c r="F6" s="16">
        <v>0.12</v>
      </c>
      <c r="G6" s="1" t="s">
        <v>946</v>
      </c>
      <c r="H6" s="1" t="s">
        <v>947</v>
      </c>
    </row>
    <row r="7" spans="2:8" x14ac:dyDescent="0.2">
      <c r="B7" s="1">
        <v>5</v>
      </c>
      <c r="C7" s="1" t="s">
        <v>948</v>
      </c>
      <c r="E7" s="1" t="s">
        <v>2</v>
      </c>
      <c r="F7" s="16">
        <v>0.13</v>
      </c>
      <c r="G7" s="1" t="s">
        <v>949</v>
      </c>
      <c r="H7" s="1" t="s">
        <v>950</v>
      </c>
    </row>
    <row r="8" spans="2:8" x14ac:dyDescent="0.2">
      <c r="E8" s="1" t="s">
        <v>951</v>
      </c>
      <c r="F8" s="16">
        <v>0.09</v>
      </c>
      <c r="G8" s="1" t="s">
        <v>952</v>
      </c>
      <c r="H8" s="1" t="s">
        <v>953</v>
      </c>
    </row>
    <row r="9" spans="2:8" x14ac:dyDescent="0.2">
      <c r="E9" s="1" t="s">
        <v>954</v>
      </c>
      <c r="F9" s="16">
        <v>0.1</v>
      </c>
      <c r="G9" s="1" t="s">
        <v>955</v>
      </c>
      <c r="H9" s="1" t="s">
        <v>956</v>
      </c>
    </row>
    <row r="10" spans="2:8" x14ac:dyDescent="0.2">
      <c r="E10" s="1" t="s">
        <v>957</v>
      </c>
      <c r="F10" s="16">
        <v>0.09</v>
      </c>
      <c r="G10" s="1" t="s">
        <v>958</v>
      </c>
      <c r="H10" s="1" t="s">
        <v>959</v>
      </c>
    </row>
    <row r="11" spans="2:8" x14ac:dyDescent="0.2">
      <c r="E11" s="1" t="s">
        <v>960</v>
      </c>
      <c r="F11" s="16">
        <v>0.08</v>
      </c>
      <c r="G11" s="1" t="s">
        <v>961</v>
      </c>
      <c r="H11" s="1" t="s">
        <v>962</v>
      </c>
    </row>
    <row r="13" spans="2:8" ht="15.5" customHeight="1" x14ac:dyDescent="0.2">
      <c r="E13" s="17" t="s">
        <v>963</v>
      </c>
      <c r="F13" s="15"/>
      <c r="G13" s="15"/>
      <c r="H13" s="15"/>
    </row>
    <row r="14" spans="2:8" x14ac:dyDescent="0.2">
      <c r="E14" s="12" t="s">
        <v>82</v>
      </c>
      <c r="F14" s="12" t="s">
        <v>341</v>
      </c>
      <c r="G14" s="12" t="s">
        <v>931</v>
      </c>
      <c r="H14" s="12" t="s">
        <v>1</v>
      </c>
    </row>
    <row r="15" spans="2:8" x14ac:dyDescent="0.2">
      <c r="E15" s="1" t="s">
        <v>933</v>
      </c>
      <c r="F15" s="16">
        <v>0.15</v>
      </c>
      <c r="G15" s="1" t="s">
        <v>964</v>
      </c>
      <c r="H15" s="1" t="s">
        <v>965</v>
      </c>
    </row>
    <row r="16" spans="2:8" x14ac:dyDescent="0.2">
      <c r="E16" s="1" t="s">
        <v>937</v>
      </c>
      <c r="F16" s="16">
        <v>0.2</v>
      </c>
      <c r="G16" s="1" t="s">
        <v>966</v>
      </c>
      <c r="H16" s="1" t="s">
        <v>967</v>
      </c>
    </row>
    <row r="17" spans="5:8" x14ac:dyDescent="0.2">
      <c r="E17" s="1" t="s">
        <v>968</v>
      </c>
      <c r="F17" s="16">
        <v>0.15</v>
      </c>
      <c r="G17" s="1" t="s">
        <v>969</v>
      </c>
      <c r="H17" s="1" t="s">
        <v>970</v>
      </c>
    </row>
    <row r="18" spans="5:8" x14ac:dyDescent="0.2">
      <c r="E18" s="1" t="s">
        <v>971</v>
      </c>
      <c r="F18" s="16">
        <v>0.2</v>
      </c>
      <c r="G18" s="1" t="s">
        <v>972</v>
      </c>
      <c r="H18" s="1" t="s">
        <v>973</v>
      </c>
    </row>
    <row r="19" spans="5:8" x14ac:dyDescent="0.2">
      <c r="E19" s="1" t="s">
        <v>2</v>
      </c>
      <c r="F19" s="16">
        <v>0.15</v>
      </c>
      <c r="G19" s="1" t="s">
        <v>974</v>
      </c>
      <c r="H19" s="1" t="s">
        <v>975</v>
      </c>
    </row>
    <row r="20" spans="5:8" x14ac:dyDescent="0.2">
      <c r="E20" s="1" t="s">
        <v>976</v>
      </c>
      <c r="F20" s="16">
        <v>0.15</v>
      </c>
      <c r="G20" s="1" t="s">
        <v>977</v>
      </c>
      <c r="H20" s="1" t="s">
        <v>978</v>
      </c>
    </row>
    <row r="22" spans="5:8" ht="15.5" customHeight="1" x14ac:dyDescent="0.2">
      <c r="E22" s="17" t="s">
        <v>979</v>
      </c>
      <c r="F22" s="15"/>
      <c r="G22" s="15"/>
      <c r="H22" s="15"/>
    </row>
    <row r="23" spans="5:8" x14ac:dyDescent="0.2">
      <c r="E23" s="12" t="s">
        <v>82</v>
      </c>
      <c r="F23" s="12" t="s">
        <v>341</v>
      </c>
      <c r="G23" s="12" t="s">
        <v>931</v>
      </c>
      <c r="H23" s="12" t="s">
        <v>1</v>
      </c>
    </row>
    <row r="24" spans="5:8" x14ac:dyDescent="0.2">
      <c r="E24" s="1" t="s">
        <v>933</v>
      </c>
      <c r="F24" s="16">
        <v>0.15</v>
      </c>
      <c r="G24" s="1" t="s">
        <v>980</v>
      </c>
      <c r="H24" s="1" t="s">
        <v>981</v>
      </c>
    </row>
    <row r="25" spans="5:8" x14ac:dyDescent="0.2">
      <c r="E25" s="1" t="s">
        <v>937</v>
      </c>
      <c r="F25" s="16">
        <v>0.15</v>
      </c>
      <c r="G25" s="1" t="s">
        <v>982</v>
      </c>
      <c r="H25" s="1" t="s">
        <v>983</v>
      </c>
    </row>
    <row r="26" spans="5:8" x14ac:dyDescent="0.2">
      <c r="E26" s="1" t="s">
        <v>984</v>
      </c>
      <c r="F26" s="16">
        <v>0.15</v>
      </c>
      <c r="G26" s="1" t="s">
        <v>985</v>
      </c>
      <c r="H26" s="1" t="s">
        <v>986</v>
      </c>
    </row>
    <row r="27" spans="5:8" x14ac:dyDescent="0.2">
      <c r="E27" s="1" t="s">
        <v>987</v>
      </c>
      <c r="F27" s="16">
        <v>0.15</v>
      </c>
      <c r="G27" s="1" t="s">
        <v>988</v>
      </c>
      <c r="H27" s="1" t="s">
        <v>989</v>
      </c>
    </row>
    <row r="28" spans="5:8" x14ac:dyDescent="0.2">
      <c r="E28" s="1" t="s">
        <v>2</v>
      </c>
      <c r="F28" s="16">
        <v>0.15</v>
      </c>
      <c r="G28" s="1" t="s">
        <v>982</v>
      </c>
      <c r="H28" s="1" t="s">
        <v>990</v>
      </c>
    </row>
    <row r="29" spans="5:8" x14ac:dyDescent="0.2">
      <c r="E29" s="1" t="s">
        <v>991</v>
      </c>
      <c r="F29" s="16">
        <v>0.1</v>
      </c>
      <c r="G29" s="1" t="s">
        <v>992</v>
      </c>
      <c r="H29" s="1" t="s">
        <v>993</v>
      </c>
    </row>
    <row r="30" spans="5:8" x14ac:dyDescent="0.2">
      <c r="E30" s="1" t="s">
        <v>994</v>
      </c>
      <c r="F30" s="16">
        <v>0.15</v>
      </c>
      <c r="G30" s="1" t="s">
        <v>995</v>
      </c>
      <c r="H30" s="1" t="s">
        <v>996</v>
      </c>
    </row>
    <row r="32" spans="5:8" ht="15.5" customHeight="1" x14ac:dyDescent="0.2">
      <c r="E32" s="17" t="s">
        <v>997</v>
      </c>
      <c r="F32" s="15"/>
      <c r="G32" s="15"/>
      <c r="H32" s="15"/>
    </row>
    <row r="33" spans="5:8" x14ac:dyDescent="0.2">
      <c r="E33" s="12" t="s">
        <v>82</v>
      </c>
      <c r="F33" s="12" t="s">
        <v>341</v>
      </c>
      <c r="G33" s="12" t="s">
        <v>931</v>
      </c>
      <c r="H33" s="12" t="s">
        <v>1</v>
      </c>
    </row>
    <row r="34" spans="5:8" x14ac:dyDescent="0.2">
      <c r="E34" s="1" t="s">
        <v>998</v>
      </c>
      <c r="F34" s="16">
        <v>0.25</v>
      </c>
      <c r="G34" s="1" t="s">
        <v>999</v>
      </c>
      <c r="H34" s="1" t="s">
        <v>1000</v>
      </c>
    </row>
    <row r="35" spans="5:8" x14ac:dyDescent="0.2">
      <c r="E35" s="1" t="s">
        <v>968</v>
      </c>
      <c r="F35" s="16">
        <v>0.15</v>
      </c>
      <c r="G35" s="1" t="s">
        <v>1001</v>
      </c>
      <c r="H35" s="1" t="s">
        <v>1002</v>
      </c>
    </row>
    <row r="36" spans="5:8" x14ac:dyDescent="0.2">
      <c r="E36" s="1" t="s">
        <v>1003</v>
      </c>
      <c r="F36" s="16">
        <v>0.2</v>
      </c>
      <c r="G36" s="1" t="s">
        <v>1004</v>
      </c>
      <c r="H36" s="1" t="s">
        <v>1005</v>
      </c>
    </row>
    <row r="37" spans="5:8" x14ac:dyDescent="0.2">
      <c r="E37" s="1" t="s">
        <v>933</v>
      </c>
      <c r="F37" s="16">
        <v>0.15</v>
      </c>
      <c r="G37" s="1" t="s">
        <v>1006</v>
      </c>
      <c r="H37" s="1" t="s">
        <v>1007</v>
      </c>
    </row>
    <row r="38" spans="5:8" x14ac:dyDescent="0.2">
      <c r="E38" s="1" t="s">
        <v>1008</v>
      </c>
      <c r="F38" s="16">
        <v>0.1</v>
      </c>
      <c r="G38" s="1" t="s">
        <v>1009</v>
      </c>
      <c r="H38" s="1" t="s">
        <v>1010</v>
      </c>
    </row>
    <row r="39" spans="5:8" x14ac:dyDescent="0.2">
      <c r="E39" s="1" t="s">
        <v>2</v>
      </c>
      <c r="F39" s="16">
        <v>0.15</v>
      </c>
      <c r="G39" s="1" t="s">
        <v>1011</v>
      </c>
      <c r="H39" s="1" t="s">
        <v>1012</v>
      </c>
    </row>
    <row r="41" spans="5:8" ht="15.5" customHeight="1" x14ac:dyDescent="0.2">
      <c r="E41" s="17" t="s">
        <v>1013</v>
      </c>
      <c r="F41" s="15"/>
      <c r="G41" s="15"/>
      <c r="H41" s="15"/>
    </row>
    <row r="42" spans="5:8" x14ac:dyDescent="0.2">
      <c r="E42" s="12" t="s">
        <v>82</v>
      </c>
      <c r="F42" s="12" t="s">
        <v>341</v>
      </c>
      <c r="G42" s="12" t="s">
        <v>931</v>
      </c>
      <c r="H42" s="12" t="s">
        <v>1</v>
      </c>
    </row>
    <row r="43" spans="5:8" x14ac:dyDescent="0.2">
      <c r="E43" s="1" t="s">
        <v>1014</v>
      </c>
      <c r="F43" s="16">
        <v>0.15</v>
      </c>
      <c r="G43" s="1" t="s">
        <v>1015</v>
      </c>
      <c r="H43" s="1" t="s">
        <v>1016</v>
      </c>
    </row>
    <row r="44" spans="5:8" x14ac:dyDescent="0.2">
      <c r="E44" s="1" t="s">
        <v>937</v>
      </c>
      <c r="F44" s="16">
        <v>0.15</v>
      </c>
      <c r="G44" s="1" t="s">
        <v>1017</v>
      </c>
      <c r="H44" s="1" t="s">
        <v>1018</v>
      </c>
    </row>
    <row r="45" spans="5:8" x14ac:dyDescent="0.2">
      <c r="E45" s="1" t="s">
        <v>1019</v>
      </c>
      <c r="F45" s="16">
        <v>0.15</v>
      </c>
      <c r="G45" s="1" t="s">
        <v>1020</v>
      </c>
      <c r="H45" s="1" t="s">
        <v>1021</v>
      </c>
    </row>
    <row r="46" spans="5:8" x14ac:dyDescent="0.2">
      <c r="E46" s="1" t="s">
        <v>1022</v>
      </c>
      <c r="F46" s="16">
        <v>0.2</v>
      </c>
      <c r="G46" s="1" t="s">
        <v>1023</v>
      </c>
      <c r="H46" s="1" t="s">
        <v>1024</v>
      </c>
    </row>
    <row r="47" spans="5:8" x14ac:dyDescent="0.2">
      <c r="E47" s="1" t="s">
        <v>1025</v>
      </c>
      <c r="F47" s="16">
        <v>0.1</v>
      </c>
      <c r="G47" s="1" t="s">
        <v>1026</v>
      </c>
      <c r="H47" s="1" t="s">
        <v>1027</v>
      </c>
    </row>
    <row r="48" spans="5:8" x14ac:dyDescent="0.2">
      <c r="E48" s="1" t="s">
        <v>2</v>
      </c>
      <c r="F48" s="16">
        <v>0.15</v>
      </c>
      <c r="G48" s="1" t="s">
        <v>1017</v>
      </c>
      <c r="H48" s="1" t="s">
        <v>1028</v>
      </c>
    </row>
    <row r="49" spans="5:8" x14ac:dyDescent="0.2">
      <c r="E49" s="1" t="s">
        <v>1029</v>
      </c>
      <c r="F49" s="16">
        <v>0.1</v>
      </c>
      <c r="G49" s="1" t="s">
        <v>1030</v>
      </c>
      <c r="H49" s="1" t="s">
        <v>1031</v>
      </c>
    </row>
    <row r="51" spans="5:8" ht="15.5" customHeight="1" x14ac:dyDescent="0.2">
      <c r="E51" s="17" t="s">
        <v>1032</v>
      </c>
      <c r="F51" s="15"/>
      <c r="G51" s="15"/>
      <c r="H51" s="15"/>
    </row>
    <row r="52" spans="5:8" x14ac:dyDescent="0.2">
      <c r="E52" s="12" t="s">
        <v>82</v>
      </c>
      <c r="F52" s="12" t="s">
        <v>341</v>
      </c>
      <c r="G52" s="12" t="s">
        <v>931</v>
      </c>
      <c r="H52" s="12" t="s">
        <v>1</v>
      </c>
    </row>
    <row r="53" spans="5:8" x14ac:dyDescent="0.2">
      <c r="E53" s="1" t="s">
        <v>933</v>
      </c>
      <c r="F53" s="16">
        <v>0.15</v>
      </c>
      <c r="G53" s="1" t="s">
        <v>964</v>
      </c>
      <c r="H53" s="1" t="s">
        <v>1033</v>
      </c>
    </row>
    <row r="54" spans="5:8" x14ac:dyDescent="0.2">
      <c r="E54" s="1" t="s">
        <v>1034</v>
      </c>
      <c r="F54" s="16">
        <v>0.25</v>
      </c>
      <c r="G54" s="1" t="s">
        <v>1035</v>
      </c>
      <c r="H54" s="1" t="s">
        <v>1036</v>
      </c>
    </row>
    <row r="55" spans="5:8" x14ac:dyDescent="0.2">
      <c r="E55" s="1" t="s">
        <v>937</v>
      </c>
      <c r="F55" s="16">
        <v>0.15</v>
      </c>
      <c r="G55" s="1" t="s">
        <v>1011</v>
      </c>
      <c r="H55" s="1" t="s">
        <v>1037</v>
      </c>
    </row>
    <row r="56" spans="5:8" x14ac:dyDescent="0.2">
      <c r="E56" s="1" t="s">
        <v>968</v>
      </c>
      <c r="F56" s="16">
        <v>0.15</v>
      </c>
      <c r="G56" s="1" t="s">
        <v>969</v>
      </c>
      <c r="H56" s="1" t="s">
        <v>1038</v>
      </c>
    </row>
    <row r="57" spans="5:8" x14ac:dyDescent="0.2">
      <c r="E57" s="1" t="s">
        <v>1039</v>
      </c>
      <c r="F57" s="16">
        <v>0.15</v>
      </c>
      <c r="G57" s="1" t="s">
        <v>1040</v>
      </c>
      <c r="H57" s="1" t="s">
        <v>1041</v>
      </c>
    </row>
    <row r="58" spans="5:8" x14ac:dyDescent="0.2">
      <c r="E58" s="1" t="s">
        <v>2</v>
      </c>
      <c r="F58" s="16">
        <v>0.15</v>
      </c>
      <c r="G58" s="1" t="s">
        <v>974</v>
      </c>
      <c r="H58" s="1" t="s">
        <v>1042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28"/>
  <sheetViews>
    <sheetView zoomScale="74" workbookViewId="0">
      <selection activeCell="G18" sqref="G18"/>
    </sheetView>
  </sheetViews>
  <sheetFormatPr baseColWidth="10" defaultColWidth="8.83203125" defaultRowHeight="15" x14ac:dyDescent="0.2"/>
  <cols>
    <col min="1" max="1" width="2.6640625" customWidth="1"/>
    <col min="2" max="2" width="5.5" customWidth="1"/>
    <col min="3" max="3" width="34.6640625" bestFit="1" customWidth="1"/>
    <col min="4" max="4" width="2.6640625" customWidth="1"/>
    <col min="5" max="5" width="32.6640625" customWidth="1"/>
    <col min="6" max="6" width="10" customWidth="1"/>
    <col min="7" max="7" width="23.6640625" customWidth="1"/>
    <col min="8" max="8" width="255.6640625" bestFit="1" customWidth="1"/>
  </cols>
  <sheetData>
    <row r="2" spans="2:8" ht="15.5" customHeight="1" x14ac:dyDescent="0.2">
      <c r="B2" s="1" t="s">
        <v>81</v>
      </c>
      <c r="C2" s="136" t="s">
        <v>1043</v>
      </c>
      <c r="E2" s="12" t="s">
        <v>82</v>
      </c>
      <c r="F2" s="12" t="s">
        <v>341</v>
      </c>
      <c r="G2" s="12" t="s">
        <v>931</v>
      </c>
      <c r="H2" s="12" t="s">
        <v>1</v>
      </c>
    </row>
    <row r="3" spans="2:8" x14ac:dyDescent="0.2">
      <c r="B3" s="1">
        <v>1</v>
      </c>
      <c r="C3" s="1" t="s">
        <v>1044</v>
      </c>
      <c r="E3" s="1" t="s">
        <v>1045</v>
      </c>
      <c r="F3" s="16">
        <v>0.15</v>
      </c>
      <c r="G3" s="1" t="s">
        <v>1046</v>
      </c>
      <c r="H3" s="1" t="s">
        <v>1047</v>
      </c>
    </row>
    <row r="4" spans="2:8" x14ac:dyDescent="0.2">
      <c r="B4" s="1">
        <v>2</v>
      </c>
      <c r="C4" s="1" t="s">
        <v>1048</v>
      </c>
      <c r="E4" s="1" t="s">
        <v>1049</v>
      </c>
      <c r="F4" s="16">
        <v>0.2</v>
      </c>
      <c r="G4" s="1" t="s">
        <v>1050</v>
      </c>
      <c r="H4" s="1" t="s">
        <v>1051</v>
      </c>
    </row>
    <row r="5" spans="2:8" x14ac:dyDescent="0.2">
      <c r="E5" s="1" t="s">
        <v>1052</v>
      </c>
      <c r="F5" s="16">
        <v>0.15</v>
      </c>
      <c r="G5" s="1" t="s">
        <v>1053</v>
      </c>
      <c r="H5" s="1" t="s">
        <v>1054</v>
      </c>
    </row>
    <row r="6" spans="2:8" x14ac:dyDescent="0.2">
      <c r="E6" s="1" t="s">
        <v>968</v>
      </c>
      <c r="F6" s="16">
        <v>0.15</v>
      </c>
      <c r="G6" s="1" t="s">
        <v>1055</v>
      </c>
      <c r="H6" s="1" t="s">
        <v>1056</v>
      </c>
    </row>
    <row r="7" spans="2:8" x14ac:dyDescent="0.2">
      <c r="E7" s="1" t="s">
        <v>1057</v>
      </c>
      <c r="F7" s="16">
        <v>0.15</v>
      </c>
      <c r="G7" s="1" t="s">
        <v>1058</v>
      </c>
      <c r="H7" s="1" t="s">
        <v>1059</v>
      </c>
    </row>
    <row r="8" spans="2:8" x14ac:dyDescent="0.2">
      <c r="E8" s="1" t="s">
        <v>1008</v>
      </c>
      <c r="F8" s="16">
        <v>0.1</v>
      </c>
      <c r="G8" s="1" t="s">
        <v>1060</v>
      </c>
      <c r="H8" s="1" t="s">
        <v>1061</v>
      </c>
    </row>
    <row r="9" spans="2:8" x14ac:dyDescent="0.2">
      <c r="E9" s="1" t="s">
        <v>2</v>
      </c>
      <c r="F9" s="16">
        <v>0.1</v>
      </c>
      <c r="G9" s="1" t="s">
        <v>974</v>
      </c>
      <c r="H9" s="1" t="s">
        <v>1062</v>
      </c>
    </row>
    <row r="11" spans="2:8" ht="15.5" customHeight="1" x14ac:dyDescent="0.2">
      <c r="E11" s="17" t="s">
        <v>1063</v>
      </c>
      <c r="F11" s="15"/>
      <c r="G11" s="15"/>
      <c r="H11" s="15"/>
    </row>
    <row r="12" spans="2:8" x14ac:dyDescent="0.2">
      <c r="E12" s="12" t="s">
        <v>82</v>
      </c>
      <c r="F12" s="12" t="s">
        <v>341</v>
      </c>
      <c r="G12" s="12" t="s">
        <v>931</v>
      </c>
      <c r="H12" s="12" t="s">
        <v>1</v>
      </c>
    </row>
    <row r="13" spans="2:8" x14ac:dyDescent="0.2">
      <c r="E13" s="1" t="s">
        <v>1045</v>
      </c>
      <c r="F13" s="16">
        <v>0.15</v>
      </c>
      <c r="G13" s="1" t="s">
        <v>1046</v>
      </c>
      <c r="H13" s="1" t="s">
        <v>1064</v>
      </c>
    </row>
    <row r="14" spans="2:8" x14ac:dyDescent="0.2">
      <c r="E14" s="1" t="s">
        <v>1065</v>
      </c>
      <c r="F14" s="16">
        <v>0.25</v>
      </c>
      <c r="G14" s="1" t="s">
        <v>1066</v>
      </c>
      <c r="H14" s="1" t="s">
        <v>1067</v>
      </c>
    </row>
    <row r="15" spans="2:8" x14ac:dyDescent="0.2">
      <c r="E15" s="1" t="s">
        <v>1068</v>
      </c>
      <c r="F15" s="16">
        <v>0.2</v>
      </c>
      <c r="G15" s="1" t="s">
        <v>1069</v>
      </c>
      <c r="H15" s="1" t="s">
        <v>1070</v>
      </c>
    </row>
    <row r="16" spans="2:8" x14ac:dyDescent="0.2">
      <c r="E16" s="1" t="s">
        <v>968</v>
      </c>
      <c r="F16" s="16">
        <v>0.15</v>
      </c>
      <c r="G16" s="1" t="s">
        <v>1055</v>
      </c>
      <c r="H16" s="1" t="s">
        <v>1071</v>
      </c>
    </row>
    <row r="17" spans="5:8" x14ac:dyDescent="0.2">
      <c r="E17" s="1" t="s">
        <v>1072</v>
      </c>
      <c r="F17" s="16">
        <v>0.1</v>
      </c>
      <c r="G17" s="1" t="s">
        <v>1073</v>
      </c>
      <c r="H17" s="1" t="s">
        <v>1074</v>
      </c>
    </row>
    <row r="18" spans="5:8" x14ac:dyDescent="0.2">
      <c r="E18" s="1" t="s">
        <v>1008</v>
      </c>
      <c r="F18" s="16">
        <v>0.1</v>
      </c>
      <c r="G18" s="1" t="s">
        <v>1060</v>
      </c>
      <c r="H18" s="1" t="s">
        <v>1075</v>
      </c>
    </row>
    <row r="19" spans="5:8" x14ac:dyDescent="0.2">
      <c r="E19" s="1" t="s">
        <v>2</v>
      </c>
      <c r="F19" s="16">
        <v>0.05</v>
      </c>
      <c r="G19" s="1" t="s">
        <v>974</v>
      </c>
      <c r="H19" s="1" t="s">
        <v>1076</v>
      </c>
    </row>
    <row r="21" spans="5:8" ht="15.5" customHeight="1" x14ac:dyDescent="0.2">
      <c r="E21" s="17" t="s">
        <v>1077</v>
      </c>
      <c r="F21" s="15"/>
      <c r="G21" s="15"/>
      <c r="H21" s="15"/>
    </row>
    <row r="22" spans="5:8" x14ac:dyDescent="0.2">
      <c r="E22" s="12" t="s">
        <v>82</v>
      </c>
      <c r="F22" s="12" t="s">
        <v>341</v>
      </c>
      <c r="G22" s="12" t="s">
        <v>931</v>
      </c>
      <c r="H22" s="12" t="s">
        <v>1</v>
      </c>
    </row>
    <row r="23" spans="5:8" x14ac:dyDescent="0.2">
      <c r="E23" s="1" t="s">
        <v>933</v>
      </c>
      <c r="F23" s="16">
        <v>0.2</v>
      </c>
      <c r="G23" s="1" t="s">
        <v>1078</v>
      </c>
      <c r="H23" s="1" t="s">
        <v>1079</v>
      </c>
    </row>
    <row r="24" spans="5:8" x14ac:dyDescent="0.2">
      <c r="E24" s="1" t="s">
        <v>937</v>
      </c>
      <c r="F24" s="16">
        <v>0.2</v>
      </c>
      <c r="G24" s="1" t="s">
        <v>974</v>
      </c>
      <c r="H24" s="1" t="s">
        <v>1080</v>
      </c>
    </row>
    <row r="25" spans="5:8" x14ac:dyDescent="0.2">
      <c r="E25" s="1" t="s">
        <v>1025</v>
      </c>
      <c r="F25" s="16">
        <v>0.15</v>
      </c>
      <c r="G25" s="1" t="s">
        <v>1081</v>
      </c>
      <c r="H25" s="1" t="s">
        <v>1082</v>
      </c>
    </row>
    <row r="26" spans="5:8" x14ac:dyDescent="0.2">
      <c r="E26" s="1" t="s">
        <v>1083</v>
      </c>
      <c r="F26" s="16">
        <v>0.15</v>
      </c>
      <c r="G26" s="1" t="s">
        <v>1084</v>
      </c>
      <c r="H26" s="1" t="s">
        <v>1085</v>
      </c>
    </row>
    <row r="27" spans="5:8" x14ac:dyDescent="0.2">
      <c r="E27" s="1" t="s">
        <v>1086</v>
      </c>
      <c r="F27" s="16">
        <v>0.15</v>
      </c>
      <c r="G27" s="1" t="s">
        <v>1087</v>
      </c>
      <c r="H27" s="1" t="s">
        <v>1088</v>
      </c>
    </row>
    <row r="28" spans="5:8" x14ac:dyDescent="0.2">
      <c r="E28" s="1" t="s">
        <v>2</v>
      </c>
      <c r="F28" s="16">
        <v>0.15</v>
      </c>
      <c r="G28" s="1" t="s">
        <v>949</v>
      </c>
      <c r="H28" s="1" t="s">
        <v>1089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H87"/>
  <sheetViews>
    <sheetView topLeftCell="A17" zoomScale="81" workbookViewId="0">
      <selection activeCell="E15" sqref="E15"/>
    </sheetView>
  </sheetViews>
  <sheetFormatPr baseColWidth="10" defaultColWidth="8.83203125" defaultRowHeight="15" x14ac:dyDescent="0.2"/>
  <cols>
    <col min="1" max="1" width="2.83203125" customWidth="1"/>
    <col min="3" max="3" width="32.5" bestFit="1" customWidth="1"/>
    <col min="5" max="5" width="36.83203125" customWidth="1"/>
    <col min="7" max="7" width="27" bestFit="1" customWidth="1"/>
    <col min="8" max="8" width="178.1640625" bestFit="1" customWidth="1"/>
  </cols>
  <sheetData>
    <row r="2" spans="2:8" ht="17.5" customHeight="1" x14ac:dyDescent="0.2">
      <c r="B2" s="6" t="s">
        <v>81</v>
      </c>
      <c r="C2" s="4" t="s">
        <v>1090</v>
      </c>
      <c r="E2" s="8" t="s">
        <v>930</v>
      </c>
      <c r="F2" s="8" t="s">
        <v>341</v>
      </c>
      <c r="G2" s="12" t="s">
        <v>931</v>
      </c>
      <c r="H2" s="1" t="s">
        <v>1091</v>
      </c>
    </row>
    <row r="3" spans="2:8" ht="16" x14ac:dyDescent="0.2">
      <c r="B3" s="1">
        <v>1</v>
      </c>
      <c r="C3" s="5" t="s">
        <v>1092</v>
      </c>
      <c r="E3" s="9" t="s">
        <v>1093</v>
      </c>
      <c r="F3" s="10">
        <v>0.18</v>
      </c>
      <c r="G3" s="14" t="s">
        <v>1094</v>
      </c>
      <c r="H3" s="1" t="s">
        <v>1095</v>
      </c>
    </row>
    <row r="4" spans="2:8" ht="16" x14ac:dyDescent="0.2">
      <c r="B4" s="1">
        <v>2</v>
      </c>
      <c r="C4" s="5" t="s">
        <v>1096</v>
      </c>
      <c r="E4" s="9" t="s">
        <v>1097</v>
      </c>
      <c r="F4" s="10">
        <v>0.18</v>
      </c>
      <c r="G4" s="14" t="s">
        <v>1098</v>
      </c>
      <c r="H4" s="1" t="s">
        <v>1099</v>
      </c>
    </row>
    <row r="5" spans="2:8" ht="16" x14ac:dyDescent="0.2">
      <c r="B5" s="1">
        <v>3</v>
      </c>
      <c r="C5" s="5" t="s">
        <v>1100</v>
      </c>
      <c r="E5" s="9" t="s">
        <v>1101</v>
      </c>
      <c r="F5" s="10">
        <v>0.14000000000000001</v>
      </c>
      <c r="G5" s="14" t="s">
        <v>1102</v>
      </c>
      <c r="H5" s="1" t="s">
        <v>1103</v>
      </c>
    </row>
    <row r="6" spans="2:8" ht="16" x14ac:dyDescent="0.2">
      <c r="B6" s="1">
        <v>4</v>
      </c>
      <c r="C6" s="5" t="s">
        <v>1104</v>
      </c>
      <c r="E6" s="9" t="s">
        <v>1105</v>
      </c>
      <c r="F6" s="10">
        <v>0.13</v>
      </c>
      <c r="G6" s="14" t="s">
        <v>1106</v>
      </c>
      <c r="H6" s="1" t="s">
        <v>1107</v>
      </c>
    </row>
    <row r="7" spans="2:8" ht="16" x14ac:dyDescent="0.2">
      <c r="B7" s="1">
        <v>5</v>
      </c>
      <c r="C7" s="5" t="s">
        <v>1108</v>
      </c>
      <c r="E7" s="9" t="s">
        <v>226</v>
      </c>
      <c r="F7" s="10">
        <v>0.12</v>
      </c>
      <c r="G7" s="14" t="s">
        <v>1109</v>
      </c>
      <c r="H7" s="1" t="s">
        <v>1110</v>
      </c>
    </row>
    <row r="8" spans="2:8" ht="16" x14ac:dyDescent="0.2">
      <c r="B8" s="1">
        <v>6</v>
      </c>
      <c r="C8" s="5" t="s">
        <v>1111</v>
      </c>
      <c r="E8" s="9" t="s">
        <v>957</v>
      </c>
      <c r="F8" s="10">
        <v>0.1</v>
      </c>
      <c r="G8" s="14" t="s">
        <v>1112</v>
      </c>
      <c r="H8" s="1" t="s">
        <v>1113</v>
      </c>
    </row>
    <row r="9" spans="2:8" ht="16" x14ac:dyDescent="0.2">
      <c r="B9" s="1">
        <v>7</v>
      </c>
      <c r="C9" s="1" t="s">
        <v>1114</v>
      </c>
      <c r="E9" s="9" t="s">
        <v>2</v>
      </c>
      <c r="F9" s="10">
        <v>0.05</v>
      </c>
      <c r="G9" s="14" t="s">
        <v>1011</v>
      </c>
      <c r="H9" s="1" t="s">
        <v>1115</v>
      </c>
    </row>
    <row r="10" spans="2:8" ht="16" x14ac:dyDescent="0.2">
      <c r="B10" s="1">
        <v>8</v>
      </c>
      <c r="C10" s="1" t="s">
        <v>1116</v>
      </c>
      <c r="E10" s="9" t="s">
        <v>1117</v>
      </c>
      <c r="F10" s="10">
        <v>0.1</v>
      </c>
      <c r="G10" s="14" t="s">
        <v>1118</v>
      </c>
      <c r="H10" s="1" t="s">
        <v>1119</v>
      </c>
    </row>
    <row r="11" spans="2:8" x14ac:dyDescent="0.2">
      <c r="B11" s="1">
        <v>9</v>
      </c>
      <c r="C11" s="1" t="s">
        <v>1120</v>
      </c>
    </row>
    <row r="12" spans="2:8" ht="15.5" customHeight="1" x14ac:dyDescent="0.2">
      <c r="E12" s="322" t="s">
        <v>1121</v>
      </c>
      <c r="F12" s="323"/>
      <c r="G12" s="324"/>
      <c r="H12" s="15"/>
    </row>
    <row r="13" spans="2:8" ht="16" x14ac:dyDescent="0.2">
      <c r="E13" s="8" t="s">
        <v>82</v>
      </c>
      <c r="F13" s="12" t="s">
        <v>341</v>
      </c>
      <c r="G13" s="12" t="s">
        <v>931</v>
      </c>
      <c r="H13" s="12" t="s">
        <v>1</v>
      </c>
    </row>
    <row r="14" spans="2:8" x14ac:dyDescent="0.2">
      <c r="E14" s="1" t="s">
        <v>1065</v>
      </c>
      <c r="F14" s="16">
        <v>0.25</v>
      </c>
      <c r="G14" s="1" t="s">
        <v>1122</v>
      </c>
      <c r="H14" s="1" t="s">
        <v>1123</v>
      </c>
    </row>
    <row r="15" spans="2:8" x14ac:dyDescent="0.2">
      <c r="E15" s="1" t="s">
        <v>1124</v>
      </c>
      <c r="F15" s="16">
        <v>0.2</v>
      </c>
      <c r="G15" s="1" t="s">
        <v>1125</v>
      </c>
      <c r="H15" s="1" t="s">
        <v>1126</v>
      </c>
    </row>
    <row r="16" spans="2:8" x14ac:dyDescent="0.2">
      <c r="E16" s="1" t="s">
        <v>968</v>
      </c>
      <c r="F16" s="16">
        <v>0.15</v>
      </c>
      <c r="G16" s="1" t="s">
        <v>1001</v>
      </c>
      <c r="H16" s="1" t="s">
        <v>1127</v>
      </c>
    </row>
    <row r="17" spans="5:8" x14ac:dyDescent="0.2">
      <c r="E17" s="1" t="s">
        <v>1008</v>
      </c>
      <c r="F17" s="16">
        <v>0.15</v>
      </c>
      <c r="G17" s="1" t="s">
        <v>1128</v>
      </c>
      <c r="H17" s="1" t="s">
        <v>1129</v>
      </c>
    </row>
    <row r="18" spans="5:8" x14ac:dyDescent="0.2">
      <c r="E18" s="1" t="s">
        <v>1130</v>
      </c>
      <c r="F18" s="16">
        <v>0.15</v>
      </c>
      <c r="G18" s="1" t="s">
        <v>1131</v>
      </c>
      <c r="H18" s="1" t="s">
        <v>1132</v>
      </c>
    </row>
    <row r="19" spans="5:8" x14ac:dyDescent="0.2">
      <c r="E19" s="1" t="s">
        <v>2</v>
      </c>
      <c r="F19" s="16">
        <v>0.1</v>
      </c>
      <c r="G19" s="1" t="s">
        <v>1011</v>
      </c>
      <c r="H19" s="1" t="s">
        <v>1133</v>
      </c>
    </row>
    <row r="21" spans="5:8" ht="15.5" customHeight="1" x14ac:dyDescent="0.2">
      <c r="E21" s="17" t="s">
        <v>1134</v>
      </c>
      <c r="F21" s="15"/>
      <c r="G21" s="15"/>
      <c r="H21" s="15"/>
    </row>
    <row r="22" spans="5:8" x14ac:dyDescent="0.2">
      <c r="E22" s="12" t="s">
        <v>82</v>
      </c>
      <c r="F22" s="12" t="s">
        <v>341</v>
      </c>
      <c r="G22" s="12" t="s">
        <v>931</v>
      </c>
      <c r="H22" s="12" t="s">
        <v>1</v>
      </c>
    </row>
    <row r="23" spans="5:8" x14ac:dyDescent="0.2">
      <c r="E23" s="1" t="s">
        <v>1124</v>
      </c>
      <c r="F23" s="16">
        <v>0.25</v>
      </c>
      <c r="G23" s="1" t="s">
        <v>1135</v>
      </c>
      <c r="H23" s="1" t="s">
        <v>1136</v>
      </c>
    </row>
    <row r="24" spans="5:8" x14ac:dyDescent="0.2">
      <c r="E24" s="1" t="s">
        <v>1137</v>
      </c>
      <c r="F24" s="16">
        <v>0.2</v>
      </c>
      <c r="G24" s="1" t="s">
        <v>1138</v>
      </c>
      <c r="H24" s="1" t="s">
        <v>1139</v>
      </c>
    </row>
    <row r="25" spans="5:8" x14ac:dyDescent="0.2">
      <c r="E25" s="1" t="s">
        <v>1140</v>
      </c>
      <c r="F25" s="16">
        <v>0.2</v>
      </c>
      <c r="G25" s="1" t="s">
        <v>1141</v>
      </c>
      <c r="H25" s="1" t="s">
        <v>1142</v>
      </c>
    </row>
    <row r="26" spans="5:8" x14ac:dyDescent="0.2">
      <c r="E26" s="1" t="s">
        <v>1130</v>
      </c>
      <c r="F26" s="16">
        <v>0.15</v>
      </c>
      <c r="G26" s="1" t="s">
        <v>1143</v>
      </c>
      <c r="H26" s="1" t="s">
        <v>1144</v>
      </c>
    </row>
    <row r="27" spans="5:8" x14ac:dyDescent="0.2">
      <c r="E27" s="1" t="s">
        <v>1065</v>
      </c>
      <c r="F27" s="16">
        <v>0.1</v>
      </c>
      <c r="G27" s="1" t="s">
        <v>1145</v>
      </c>
      <c r="H27" s="1" t="s">
        <v>1146</v>
      </c>
    </row>
    <row r="28" spans="5:8" x14ac:dyDescent="0.2">
      <c r="E28" s="1" t="s">
        <v>2</v>
      </c>
      <c r="F28" s="16">
        <v>0.1</v>
      </c>
      <c r="G28" s="1" t="s">
        <v>1147</v>
      </c>
      <c r="H28" s="1" t="s">
        <v>1148</v>
      </c>
    </row>
    <row r="30" spans="5:8" ht="15.5" customHeight="1" x14ac:dyDescent="0.2">
      <c r="E30" s="17" t="s">
        <v>1149</v>
      </c>
      <c r="F30" s="15"/>
      <c r="G30" s="15"/>
      <c r="H30" s="15"/>
    </row>
    <row r="31" spans="5:8" x14ac:dyDescent="0.2">
      <c r="E31" s="12" t="s">
        <v>82</v>
      </c>
      <c r="F31" s="12" t="s">
        <v>341</v>
      </c>
      <c r="G31" s="12" t="s">
        <v>931</v>
      </c>
      <c r="H31" s="12" t="s">
        <v>1</v>
      </c>
    </row>
    <row r="32" spans="5:8" x14ac:dyDescent="0.2">
      <c r="E32" s="1" t="s">
        <v>1150</v>
      </c>
      <c r="F32" s="16">
        <v>0.25</v>
      </c>
      <c r="G32" s="1" t="s">
        <v>1151</v>
      </c>
      <c r="H32" s="1" t="s">
        <v>1152</v>
      </c>
    </row>
    <row r="33" spans="5:8" x14ac:dyDescent="0.2">
      <c r="E33" s="1" t="s">
        <v>968</v>
      </c>
      <c r="F33" s="16">
        <v>0.2</v>
      </c>
      <c r="G33" s="1" t="s">
        <v>1153</v>
      </c>
      <c r="H33" s="1" t="s">
        <v>1154</v>
      </c>
    </row>
    <row r="34" spans="5:8" x14ac:dyDescent="0.2">
      <c r="E34" s="1" t="s">
        <v>1155</v>
      </c>
      <c r="F34" s="16">
        <v>0.2</v>
      </c>
      <c r="G34" s="1" t="s">
        <v>1156</v>
      </c>
      <c r="H34" s="1" t="s">
        <v>1157</v>
      </c>
    </row>
    <row r="35" spans="5:8" x14ac:dyDescent="0.2">
      <c r="E35" s="1" t="s">
        <v>1158</v>
      </c>
      <c r="F35" s="16">
        <v>0.15</v>
      </c>
      <c r="G35" s="1" t="s">
        <v>1159</v>
      </c>
      <c r="H35" s="1" t="s">
        <v>1160</v>
      </c>
    </row>
    <row r="36" spans="5:8" x14ac:dyDescent="0.2">
      <c r="E36" s="1" t="s">
        <v>2</v>
      </c>
      <c r="F36" s="16">
        <v>0.2</v>
      </c>
      <c r="G36" s="1" t="s">
        <v>1011</v>
      </c>
      <c r="H36" s="1" t="s">
        <v>1161</v>
      </c>
    </row>
    <row r="38" spans="5:8" ht="15.5" customHeight="1" x14ac:dyDescent="0.2">
      <c r="E38" s="17" t="s">
        <v>1162</v>
      </c>
      <c r="F38" s="15"/>
      <c r="G38" s="15"/>
      <c r="H38" s="15"/>
    </row>
    <row r="39" spans="5:8" x14ac:dyDescent="0.2">
      <c r="E39" s="12" t="s">
        <v>82</v>
      </c>
      <c r="F39" s="12" t="s">
        <v>341</v>
      </c>
      <c r="G39" s="12" t="s">
        <v>931</v>
      </c>
      <c r="H39" s="12" t="s">
        <v>1</v>
      </c>
    </row>
    <row r="40" spans="5:8" x14ac:dyDescent="0.2">
      <c r="E40" s="1" t="s">
        <v>1124</v>
      </c>
      <c r="F40" s="16">
        <v>0.25</v>
      </c>
      <c r="G40" s="1" t="s">
        <v>1163</v>
      </c>
      <c r="H40" s="1" t="s">
        <v>1164</v>
      </c>
    </row>
    <row r="41" spans="5:8" x14ac:dyDescent="0.2">
      <c r="E41" s="1" t="s">
        <v>1137</v>
      </c>
      <c r="F41" s="16">
        <v>0.2</v>
      </c>
      <c r="G41" s="1" t="s">
        <v>1165</v>
      </c>
      <c r="H41" s="1" t="s">
        <v>1166</v>
      </c>
    </row>
    <row r="42" spans="5:8" x14ac:dyDescent="0.2">
      <c r="E42" s="1" t="s">
        <v>1167</v>
      </c>
      <c r="F42" s="16">
        <v>0.15</v>
      </c>
      <c r="G42" s="1" t="s">
        <v>1168</v>
      </c>
      <c r="H42" s="1" t="s">
        <v>1169</v>
      </c>
    </row>
    <row r="43" spans="5:8" x14ac:dyDescent="0.2">
      <c r="E43" s="1" t="s">
        <v>1170</v>
      </c>
      <c r="F43" s="16">
        <v>0.15</v>
      </c>
      <c r="G43" s="1" t="s">
        <v>1171</v>
      </c>
      <c r="H43" s="1" t="s">
        <v>1172</v>
      </c>
    </row>
    <row r="44" spans="5:8" x14ac:dyDescent="0.2">
      <c r="E44" s="1" t="s">
        <v>937</v>
      </c>
      <c r="F44" s="16">
        <v>0.15</v>
      </c>
      <c r="G44" s="1" t="s">
        <v>1173</v>
      </c>
      <c r="H44" s="1" t="s">
        <v>1174</v>
      </c>
    </row>
    <row r="45" spans="5:8" x14ac:dyDescent="0.2">
      <c r="E45" s="1" t="s">
        <v>2</v>
      </c>
      <c r="F45" s="16">
        <v>0.1</v>
      </c>
      <c r="G45" s="1" t="s">
        <v>1175</v>
      </c>
      <c r="H45" s="1" t="s">
        <v>1176</v>
      </c>
    </row>
    <row r="47" spans="5:8" ht="15.5" customHeight="1" x14ac:dyDescent="0.2">
      <c r="E47" s="17" t="s">
        <v>1177</v>
      </c>
      <c r="F47" s="15"/>
      <c r="G47" s="15"/>
      <c r="H47" s="15"/>
    </row>
    <row r="48" spans="5:8" x14ac:dyDescent="0.2">
      <c r="E48" s="12" t="s">
        <v>82</v>
      </c>
      <c r="F48" s="12" t="s">
        <v>341</v>
      </c>
      <c r="G48" s="12" t="s">
        <v>931</v>
      </c>
      <c r="H48" s="12" t="s">
        <v>1</v>
      </c>
    </row>
    <row r="49" spans="5:8" x14ac:dyDescent="0.2">
      <c r="E49" s="1" t="s">
        <v>1178</v>
      </c>
      <c r="F49" s="16">
        <v>0.25</v>
      </c>
      <c r="G49" s="1" t="s">
        <v>1179</v>
      </c>
      <c r="H49" s="1" t="s">
        <v>1180</v>
      </c>
    </row>
    <row r="50" spans="5:8" x14ac:dyDescent="0.2">
      <c r="E50" s="1" t="s">
        <v>1181</v>
      </c>
      <c r="F50" s="16">
        <v>0.2</v>
      </c>
      <c r="G50" s="1" t="s">
        <v>1182</v>
      </c>
      <c r="H50" s="1" t="s">
        <v>1183</v>
      </c>
    </row>
    <row r="51" spans="5:8" x14ac:dyDescent="0.2">
      <c r="E51" s="1" t="s">
        <v>933</v>
      </c>
      <c r="F51" s="16">
        <v>0.15</v>
      </c>
      <c r="G51" s="1" t="s">
        <v>1184</v>
      </c>
      <c r="H51" s="1" t="s">
        <v>1185</v>
      </c>
    </row>
    <row r="52" spans="5:8" x14ac:dyDescent="0.2">
      <c r="E52" s="1" t="s">
        <v>1186</v>
      </c>
      <c r="F52" s="16">
        <v>0.15</v>
      </c>
      <c r="G52" s="1" t="s">
        <v>1187</v>
      </c>
      <c r="H52" s="1" t="s">
        <v>1188</v>
      </c>
    </row>
    <row r="53" spans="5:8" x14ac:dyDescent="0.2">
      <c r="E53" s="1" t="s">
        <v>937</v>
      </c>
      <c r="F53" s="16">
        <v>0.15</v>
      </c>
      <c r="G53" s="1" t="s">
        <v>1189</v>
      </c>
      <c r="H53" s="1" t="s">
        <v>1190</v>
      </c>
    </row>
    <row r="54" spans="5:8" x14ac:dyDescent="0.2">
      <c r="E54" s="1" t="s">
        <v>2</v>
      </c>
      <c r="F54" s="16">
        <v>0.1</v>
      </c>
      <c r="G54" s="1" t="s">
        <v>1191</v>
      </c>
      <c r="H54" s="1" t="s">
        <v>1192</v>
      </c>
    </row>
    <row r="56" spans="5:8" ht="15.5" customHeight="1" x14ac:dyDescent="0.2">
      <c r="E56" s="17" t="s">
        <v>1193</v>
      </c>
      <c r="F56" s="15"/>
      <c r="G56" s="15"/>
      <c r="H56" s="15"/>
    </row>
    <row r="57" spans="5:8" x14ac:dyDescent="0.2">
      <c r="E57" s="12" t="s">
        <v>82</v>
      </c>
      <c r="F57" s="12" t="s">
        <v>341</v>
      </c>
      <c r="G57" s="12" t="s">
        <v>931</v>
      </c>
      <c r="H57" s="12" t="s">
        <v>1</v>
      </c>
    </row>
    <row r="58" spans="5:8" x14ac:dyDescent="0.2">
      <c r="E58" s="1" t="s">
        <v>1124</v>
      </c>
      <c r="F58" s="16">
        <v>0.25</v>
      </c>
      <c r="G58" s="1" t="s">
        <v>1194</v>
      </c>
      <c r="H58" s="1" t="s">
        <v>1195</v>
      </c>
    </row>
    <row r="59" spans="5:8" x14ac:dyDescent="0.2">
      <c r="E59" s="1" t="s">
        <v>1196</v>
      </c>
      <c r="F59" s="16">
        <v>0.2</v>
      </c>
      <c r="G59" s="1" t="s">
        <v>1197</v>
      </c>
      <c r="H59" s="1" t="s">
        <v>1198</v>
      </c>
    </row>
    <row r="60" spans="5:8" x14ac:dyDescent="0.2">
      <c r="E60" s="1" t="s">
        <v>1199</v>
      </c>
      <c r="F60" s="16">
        <v>0.15</v>
      </c>
      <c r="G60" s="1" t="s">
        <v>1200</v>
      </c>
      <c r="H60" s="1" t="s">
        <v>1201</v>
      </c>
    </row>
    <row r="61" spans="5:8" x14ac:dyDescent="0.2">
      <c r="E61" s="1" t="s">
        <v>1202</v>
      </c>
      <c r="F61" s="16">
        <v>0.15</v>
      </c>
      <c r="G61" s="1" t="s">
        <v>1203</v>
      </c>
      <c r="H61" s="1" t="s">
        <v>1204</v>
      </c>
    </row>
    <row r="62" spans="5:8" x14ac:dyDescent="0.2">
      <c r="E62" s="1" t="s">
        <v>1205</v>
      </c>
      <c r="F62" s="16">
        <v>0.15</v>
      </c>
      <c r="G62" s="1" t="s">
        <v>1206</v>
      </c>
      <c r="H62" s="1" t="s">
        <v>1207</v>
      </c>
    </row>
    <row r="63" spans="5:8" x14ac:dyDescent="0.2">
      <c r="E63" s="1" t="s">
        <v>2</v>
      </c>
      <c r="F63" s="16">
        <v>0.1</v>
      </c>
      <c r="G63" s="1" t="s">
        <v>949</v>
      </c>
      <c r="H63" s="1" t="s">
        <v>1208</v>
      </c>
    </row>
    <row r="65" spans="5:8" x14ac:dyDescent="0.2">
      <c r="E65" s="117" t="s">
        <v>1209</v>
      </c>
      <c r="F65" s="117" t="s">
        <v>341</v>
      </c>
      <c r="G65" s="117" t="s">
        <v>1210</v>
      </c>
      <c r="H65" s="117" t="s">
        <v>1211</v>
      </c>
    </row>
    <row r="66" spans="5:8" x14ac:dyDescent="0.2">
      <c r="E66" s="105" t="s">
        <v>1212</v>
      </c>
      <c r="F66" s="106">
        <v>0.2</v>
      </c>
      <c r="G66" s="107" t="s">
        <v>1213</v>
      </c>
      <c r="H66" s="105" t="s">
        <v>1214</v>
      </c>
    </row>
    <row r="67" spans="5:8" x14ac:dyDescent="0.2">
      <c r="E67" s="105" t="s">
        <v>1215</v>
      </c>
      <c r="F67" s="106">
        <v>0.25</v>
      </c>
      <c r="G67" s="107" t="s">
        <v>1216</v>
      </c>
      <c r="H67" s="105" t="s">
        <v>1217</v>
      </c>
    </row>
    <row r="68" spans="5:8" x14ac:dyDescent="0.2">
      <c r="E68" s="105" t="s">
        <v>1218</v>
      </c>
      <c r="F68" s="106">
        <v>0.2</v>
      </c>
      <c r="G68" s="107" t="s">
        <v>1219</v>
      </c>
      <c r="H68" s="105" t="s">
        <v>1220</v>
      </c>
    </row>
    <row r="69" spans="5:8" x14ac:dyDescent="0.2">
      <c r="E69" s="105" t="s">
        <v>1221</v>
      </c>
      <c r="F69" s="106">
        <v>0.15</v>
      </c>
      <c r="G69" s="107" t="s">
        <v>1222</v>
      </c>
      <c r="H69" s="105" t="s">
        <v>1223</v>
      </c>
    </row>
    <row r="70" spans="5:8" x14ac:dyDescent="0.2">
      <c r="E70" s="105" t="s">
        <v>1224</v>
      </c>
      <c r="F70" s="106">
        <v>0.1</v>
      </c>
      <c r="G70" s="107" t="s">
        <v>1225</v>
      </c>
      <c r="H70" s="105" t="s">
        <v>1226</v>
      </c>
    </row>
    <row r="71" spans="5:8" x14ac:dyDescent="0.2">
      <c r="E71" s="102" t="s">
        <v>1227</v>
      </c>
      <c r="F71" s="103">
        <v>0.1</v>
      </c>
      <c r="G71" s="104" t="s">
        <v>1228</v>
      </c>
      <c r="H71" s="102" t="s">
        <v>1229</v>
      </c>
    </row>
    <row r="73" spans="5:8" x14ac:dyDescent="0.2">
      <c r="E73" s="117" t="s">
        <v>1230</v>
      </c>
      <c r="F73" s="117" t="s">
        <v>341</v>
      </c>
      <c r="G73" s="117" t="s">
        <v>1210</v>
      </c>
      <c r="H73" s="117" t="s">
        <v>1211</v>
      </c>
    </row>
    <row r="74" spans="5:8" x14ac:dyDescent="0.2">
      <c r="E74" s="105" t="s">
        <v>1231</v>
      </c>
      <c r="F74" s="106">
        <v>0.25</v>
      </c>
      <c r="G74" s="107" t="s">
        <v>1232</v>
      </c>
      <c r="H74" s="105" t="s">
        <v>1233</v>
      </c>
    </row>
    <row r="75" spans="5:8" x14ac:dyDescent="0.2">
      <c r="E75" s="105" t="s">
        <v>1234</v>
      </c>
      <c r="F75" s="106">
        <v>0.2</v>
      </c>
      <c r="G75" s="107" t="s">
        <v>1235</v>
      </c>
      <c r="H75" s="105" t="s">
        <v>1236</v>
      </c>
    </row>
    <row r="76" spans="5:8" x14ac:dyDescent="0.2">
      <c r="E76" s="105" t="s">
        <v>1237</v>
      </c>
      <c r="F76" s="106">
        <v>0.2</v>
      </c>
      <c r="G76" s="107" t="s">
        <v>1238</v>
      </c>
      <c r="H76" s="105" t="s">
        <v>1239</v>
      </c>
    </row>
    <row r="77" spans="5:8" x14ac:dyDescent="0.2">
      <c r="E77" s="105" t="s">
        <v>1240</v>
      </c>
      <c r="F77" s="106">
        <v>0.15</v>
      </c>
      <c r="G77" s="107" t="s">
        <v>1241</v>
      </c>
      <c r="H77" s="105" t="s">
        <v>1242</v>
      </c>
    </row>
    <row r="78" spans="5:8" x14ac:dyDescent="0.2">
      <c r="E78" s="105" t="s">
        <v>937</v>
      </c>
      <c r="F78" s="106">
        <v>0.1</v>
      </c>
      <c r="G78" s="107" t="s">
        <v>1243</v>
      </c>
      <c r="H78" s="105" t="s">
        <v>1244</v>
      </c>
    </row>
    <row r="79" spans="5:8" x14ac:dyDescent="0.2">
      <c r="E79" s="102" t="s">
        <v>1245</v>
      </c>
      <c r="F79" s="103">
        <v>0.1</v>
      </c>
      <c r="G79" s="104" t="s">
        <v>1246</v>
      </c>
      <c r="H79" s="102" t="s">
        <v>1247</v>
      </c>
    </row>
    <row r="81" spans="5:8" x14ac:dyDescent="0.2">
      <c r="E81" s="117" t="s">
        <v>1248</v>
      </c>
      <c r="F81" s="117" t="s">
        <v>341</v>
      </c>
      <c r="G81" s="117" t="s">
        <v>1210</v>
      </c>
      <c r="H81" s="117" t="s">
        <v>1211</v>
      </c>
    </row>
    <row r="82" spans="5:8" x14ac:dyDescent="0.2">
      <c r="E82" s="105" t="s">
        <v>1249</v>
      </c>
      <c r="F82" s="106">
        <v>0.25</v>
      </c>
      <c r="G82" s="107" t="s">
        <v>1250</v>
      </c>
      <c r="H82" s="105" t="s">
        <v>1251</v>
      </c>
    </row>
    <row r="83" spans="5:8" x14ac:dyDescent="0.2">
      <c r="E83" s="105" t="s">
        <v>1252</v>
      </c>
      <c r="F83" s="106">
        <v>0.2</v>
      </c>
      <c r="G83" s="107" t="s">
        <v>1253</v>
      </c>
      <c r="H83" s="105" t="s">
        <v>1254</v>
      </c>
    </row>
    <row r="84" spans="5:8" x14ac:dyDescent="0.2">
      <c r="E84" s="105" t="s">
        <v>1255</v>
      </c>
      <c r="F84" s="106">
        <v>0.2</v>
      </c>
      <c r="G84" s="107" t="s">
        <v>1256</v>
      </c>
      <c r="H84" s="105" t="s">
        <v>1257</v>
      </c>
    </row>
    <row r="85" spans="5:8" x14ac:dyDescent="0.2">
      <c r="E85" s="105" t="s">
        <v>1258</v>
      </c>
      <c r="F85" s="106">
        <v>0.15</v>
      </c>
      <c r="G85" s="107" t="s">
        <v>1259</v>
      </c>
      <c r="H85" s="105" t="s">
        <v>1260</v>
      </c>
    </row>
    <row r="86" spans="5:8" x14ac:dyDescent="0.2">
      <c r="E86" s="105" t="s">
        <v>1261</v>
      </c>
      <c r="F86" s="106">
        <v>0.1</v>
      </c>
      <c r="G86" s="107" t="s">
        <v>1262</v>
      </c>
      <c r="H86" s="105" t="s">
        <v>1263</v>
      </c>
    </row>
    <row r="87" spans="5:8" x14ac:dyDescent="0.2">
      <c r="E87" s="102" t="s">
        <v>1264</v>
      </c>
      <c r="F87" s="103">
        <v>0.1</v>
      </c>
      <c r="G87" s="104" t="s">
        <v>1265</v>
      </c>
      <c r="H87" s="102" t="s">
        <v>1266</v>
      </c>
    </row>
  </sheetData>
  <mergeCells count="1">
    <mergeCell ref="E12:G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35"/>
  <sheetViews>
    <sheetView zoomScale="69" workbookViewId="0">
      <selection activeCell="E10" sqref="E10"/>
    </sheetView>
  </sheetViews>
  <sheetFormatPr baseColWidth="10" defaultColWidth="8.83203125" defaultRowHeight="15" x14ac:dyDescent="0.2"/>
  <cols>
    <col min="1" max="1" width="2.6640625" customWidth="1"/>
    <col min="2" max="2" width="5.5" customWidth="1"/>
    <col min="3" max="3" width="28.5" bestFit="1" customWidth="1"/>
    <col min="4" max="4" width="2.6640625" customWidth="1"/>
    <col min="5" max="5" width="32.6640625" customWidth="1"/>
    <col min="6" max="6" width="10" customWidth="1"/>
    <col min="7" max="7" width="23.6640625" customWidth="1"/>
    <col min="8" max="8" width="230.1640625" bestFit="1" customWidth="1"/>
  </cols>
  <sheetData>
    <row r="2" spans="2:8" ht="15.5" customHeight="1" x14ac:dyDescent="0.2">
      <c r="B2" s="1" t="s">
        <v>81</v>
      </c>
      <c r="C2" s="136" t="s">
        <v>1267</v>
      </c>
      <c r="E2" s="12" t="s">
        <v>82</v>
      </c>
      <c r="F2" s="12" t="s">
        <v>341</v>
      </c>
      <c r="G2" s="12" t="s">
        <v>931</v>
      </c>
      <c r="H2" s="12" t="s">
        <v>1</v>
      </c>
    </row>
    <row r="3" spans="2:8" x14ac:dyDescent="0.2">
      <c r="B3" s="1">
        <v>1</v>
      </c>
      <c r="C3" s="1" t="s">
        <v>1268</v>
      </c>
      <c r="E3" s="1" t="s">
        <v>1269</v>
      </c>
      <c r="F3" s="16">
        <v>0.2</v>
      </c>
      <c r="G3" s="1" t="s">
        <v>1270</v>
      </c>
      <c r="H3" s="1" t="s">
        <v>1271</v>
      </c>
    </row>
    <row r="4" spans="2:8" x14ac:dyDescent="0.2">
      <c r="B4" s="1">
        <v>2</v>
      </c>
      <c r="C4" s="1" t="s">
        <v>1272</v>
      </c>
      <c r="E4" s="1" t="s">
        <v>1273</v>
      </c>
      <c r="F4" s="16">
        <v>0.15</v>
      </c>
      <c r="G4" s="1" t="s">
        <v>1274</v>
      </c>
      <c r="H4" s="1" t="s">
        <v>1275</v>
      </c>
    </row>
    <row r="5" spans="2:8" x14ac:dyDescent="0.2">
      <c r="B5" s="1">
        <v>3</v>
      </c>
      <c r="C5" s="1" t="s">
        <v>1276</v>
      </c>
      <c r="E5" s="1" t="s">
        <v>937</v>
      </c>
      <c r="F5" s="16">
        <v>0.15</v>
      </c>
      <c r="G5" s="1" t="s">
        <v>1277</v>
      </c>
      <c r="H5" s="1" t="s">
        <v>1278</v>
      </c>
    </row>
    <row r="6" spans="2:8" x14ac:dyDescent="0.2">
      <c r="E6" s="1" t="s">
        <v>968</v>
      </c>
      <c r="F6" s="16">
        <v>0.15</v>
      </c>
      <c r="G6" s="1" t="s">
        <v>1001</v>
      </c>
      <c r="H6" s="1" t="s">
        <v>1279</v>
      </c>
    </row>
    <row r="7" spans="2:8" x14ac:dyDescent="0.2">
      <c r="E7" s="1" t="s">
        <v>1280</v>
      </c>
      <c r="F7" s="16">
        <v>0.2</v>
      </c>
      <c r="G7" s="1" t="s">
        <v>1281</v>
      </c>
      <c r="H7" s="1" t="s">
        <v>1282</v>
      </c>
    </row>
    <row r="8" spans="2:8" x14ac:dyDescent="0.2">
      <c r="E8" s="1" t="s">
        <v>2</v>
      </c>
      <c r="F8" s="16">
        <v>0.15</v>
      </c>
      <c r="G8" s="1" t="s">
        <v>1283</v>
      </c>
      <c r="H8" s="1" t="s">
        <v>1284</v>
      </c>
    </row>
    <row r="10" spans="2:8" ht="15.5" customHeight="1" x14ac:dyDescent="0.2">
      <c r="E10" s="135" t="s">
        <v>1285</v>
      </c>
      <c r="F10" s="121"/>
      <c r="G10" s="121"/>
      <c r="H10" s="121"/>
    </row>
    <row r="11" spans="2:8" x14ac:dyDescent="0.2">
      <c r="E11" s="122" t="s">
        <v>82</v>
      </c>
      <c r="F11" s="122" t="s">
        <v>341</v>
      </c>
      <c r="G11" s="122" t="s">
        <v>931</v>
      </c>
      <c r="H11" s="122" t="s">
        <v>1</v>
      </c>
    </row>
    <row r="12" spans="2:8" x14ac:dyDescent="0.2">
      <c r="E12" t="s">
        <v>1286</v>
      </c>
      <c r="F12" s="123">
        <v>0.2</v>
      </c>
      <c r="G12" t="s">
        <v>1287</v>
      </c>
      <c r="H12" t="s">
        <v>1288</v>
      </c>
    </row>
    <row r="13" spans="2:8" x14ac:dyDescent="0.2">
      <c r="E13" t="s">
        <v>1289</v>
      </c>
      <c r="F13" s="123">
        <v>0.15</v>
      </c>
      <c r="G13" t="s">
        <v>1290</v>
      </c>
      <c r="H13" t="s">
        <v>1291</v>
      </c>
    </row>
    <row r="14" spans="2:8" x14ac:dyDescent="0.2">
      <c r="E14" t="s">
        <v>937</v>
      </c>
      <c r="F14" s="123">
        <v>0.2</v>
      </c>
      <c r="G14" t="s">
        <v>1292</v>
      </c>
      <c r="H14" t="s">
        <v>1293</v>
      </c>
    </row>
    <row r="15" spans="2:8" x14ac:dyDescent="0.2">
      <c r="E15" t="s">
        <v>1294</v>
      </c>
      <c r="F15" s="123">
        <v>0.15</v>
      </c>
      <c r="G15" t="s">
        <v>1295</v>
      </c>
      <c r="H15" t="s">
        <v>1296</v>
      </c>
    </row>
    <row r="16" spans="2:8" x14ac:dyDescent="0.2">
      <c r="E16" t="s">
        <v>1297</v>
      </c>
      <c r="F16" s="123">
        <v>0.15</v>
      </c>
      <c r="G16" t="s">
        <v>1298</v>
      </c>
      <c r="H16" t="s">
        <v>1299</v>
      </c>
    </row>
    <row r="17" spans="5:8" x14ac:dyDescent="0.2">
      <c r="E17" t="s">
        <v>2</v>
      </c>
      <c r="F17" s="123">
        <v>0.15</v>
      </c>
      <c r="G17" t="s">
        <v>1300</v>
      </c>
      <c r="H17" t="s">
        <v>1301</v>
      </c>
    </row>
    <row r="19" spans="5:8" ht="15.5" customHeight="1" x14ac:dyDescent="0.2">
      <c r="E19" s="135" t="s">
        <v>1302</v>
      </c>
      <c r="F19" s="121"/>
      <c r="G19" s="121"/>
      <c r="H19" s="121"/>
    </row>
    <row r="20" spans="5:8" x14ac:dyDescent="0.2">
      <c r="E20" s="122" t="s">
        <v>82</v>
      </c>
      <c r="F20" s="122" t="s">
        <v>341</v>
      </c>
      <c r="G20" s="122" t="s">
        <v>931</v>
      </c>
      <c r="H20" s="122" t="s">
        <v>1</v>
      </c>
    </row>
    <row r="21" spans="5:8" x14ac:dyDescent="0.2">
      <c r="E21" t="s">
        <v>933</v>
      </c>
      <c r="F21" s="123">
        <v>0.15</v>
      </c>
      <c r="G21" t="s">
        <v>1006</v>
      </c>
      <c r="H21" t="s">
        <v>1303</v>
      </c>
    </row>
    <row r="22" spans="5:8" x14ac:dyDescent="0.2">
      <c r="E22" t="s">
        <v>1304</v>
      </c>
      <c r="F22" s="123">
        <v>0.2</v>
      </c>
      <c r="G22" t="s">
        <v>1305</v>
      </c>
      <c r="H22" t="s">
        <v>1306</v>
      </c>
    </row>
    <row r="23" spans="5:8" x14ac:dyDescent="0.2">
      <c r="E23" t="s">
        <v>937</v>
      </c>
      <c r="F23" s="123">
        <v>0.2</v>
      </c>
      <c r="G23" t="s">
        <v>1307</v>
      </c>
      <c r="H23" t="s">
        <v>1308</v>
      </c>
    </row>
    <row r="24" spans="5:8" x14ac:dyDescent="0.2">
      <c r="E24" t="s">
        <v>1309</v>
      </c>
      <c r="F24" s="123">
        <v>0.2</v>
      </c>
      <c r="G24" t="s">
        <v>1310</v>
      </c>
      <c r="H24" t="s">
        <v>1311</v>
      </c>
    </row>
    <row r="25" spans="5:8" x14ac:dyDescent="0.2">
      <c r="E25" t="s">
        <v>1312</v>
      </c>
      <c r="F25" s="123">
        <v>0.15</v>
      </c>
      <c r="G25" t="s">
        <v>1313</v>
      </c>
      <c r="H25" t="s">
        <v>1314</v>
      </c>
    </row>
    <row r="26" spans="5:8" x14ac:dyDescent="0.2">
      <c r="E26" t="s">
        <v>2</v>
      </c>
      <c r="F26" s="123">
        <v>0.1</v>
      </c>
      <c r="G26" t="s">
        <v>1011</v>
      </c>
      <c r="H26" t="s">
        <v>1315</v>
      </c>
    </row>
    <row r="28" spans="5:8" ht="15.5" customHeight="1" x14ac:dyDescent="0.2">
      <c r="E28" s="135" t="s">
        <v>1316</v>
      </c>
      <c r="F28" s="121"/>
      <c r="G28" s="121"/>
      <c r="H28" s="121"/>
    </row>
    <row r="29" spans="5:8" x14ac:dyDescent="0.2">
      <c r="E29" s="122" t="s">
        <v>82</v>
      </c>
      <c r="F29" s="122" t="s">
        <v>341</v>
      </c>
      <c r="G29" s="122" t="s">
        <v>931</v>
      </c>
      <c r="H29" s="122" t="s">
        <v>1</v>
      </c>
    </row>
    <row r="30" spans="5:8" x14ac:dyDescent="0.2">
      <c r="E30" t="s">
        <v>933</v>
      </c>
      <c r="F30" s="123">
        <v>0.2</v>
      </c>
      <c r="G30" t="s">
        <v>1184</v>
      </c>
      <c r="H30" t="s">
        <v>1317</v>
      </c>
    </row>
    <row r="31" spans="5:8" x14ac:dyDescent="0.2">
      <c r="E31" t="s">
        <v>937</v>
      </c>
      <c r="F31" s="123">
        <v>0.2</v>
      </c>
      <c r="G31" t="s">
        <v>1318</v>
      </c>
      <c r="H31" t="s">
        <v>1319</v>
      </c>
    </row>
    <row r="32" spans="5:8" x14ac:dyDescent="0.2">
      <c r="E32" t="s">
        <v>1320</v>
      </c>
      <c r="F32" s="123">
        <v>0.2</v>
      </c>
      <c r="G32" t="s">
        <v>1321</v>
      </c>
      <c r="H32" t="s">
        <v>1322</v>
      </c>
    </row>
    <row r="33" spans="5:8" x14ac:dyDescent="0.2">
      <c r="E33" t="s">
        <v>1323</v>
      </c>
      <c r="F33" s="123">
        <v>0.15</v>
      </c>
      <c r="G33" t="s">
        <v>1324</v>
      </c>
      <c r="H33" t="s">
        <v>1325</v>
      </c>
    </row>
    <row r="34" spans="5:8" x14ac:dyDescent="0.2">
      <c r="E34" t="s">
        <v>1309</v>
      </c>
      <c r="F34" s="123">
        <v>0.1</v>
      </c>
      <c r="G34" t="s">
        <v>1326</v>
      </c>
      <c r="H34" t="s">
        <v>1327</v>
      </c>
    </row>
    <row r="35" spans="5:8" x14ac:dyDescent="0.2">
      <c r="E35" t="s">
        <v>2</v>
      </c>
      <c r="F35" s="123">
        <v>0.15</v>
      </c>
      <c r="G35" t="s">
        <v>974</v>
      </c>
      <c r="H35" t="s">
        <v>1328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H29"/>
  <sheetViews>
    <sheetView topLeftCell="A7" zoomScale="85" workbookViewId="0">
      <selection activeCell="C12" sqref="C12"/>
    </sheetView>
  </sheetViews>
  <sheetFormatPr baseColWidth="10" defaultColWidth="8.83203125" defaultRowHeight="15" x14ac:dyDescent="0.2"/>
  <cols>
    <col min="1" max="1" width="2.6640625" customWidth="1"/>
    <col min="2" max="2" width="5.5" customWidth="1"/>
    <col min="3" max="3" width="43.6640625" bestFit="1" customWidth="1"/>
    <col min="4" max="4" width="2.6640625" customWidth="1"/>
    <col min="5" max="5" width="32.6640625" customWidth="1"/>
    <col min="6" max="6" width="10" customWidth="1"/>
    <col min="7" max="7" width="23.6640625" customWidth="1"/>
    <col min="8" max="8" width="72.6640625" customWidth="1"/>
  </cols>
  <sheetData>
    <row r="2" spans="2:8" ht="15.5" customHeight="1" x14ac:dyDescent="0.2">
      <c r="B2" s="1" t="s">
        <v>81</v>
      </c>
      <c r="C2" s="136" t="s">
        <v>1329</v>
      </c>
      <c r="E2" s="12" t="s">
        <v>930</v>
      </c>
      <c r="F2" s="12" t="s">
        <v>341</v>
      </c>
      <c r="G2" s="12" t="s">
        <v>931</v>
      </c>
      <c r="H2" s="12" t="s">
        <v>1</v>
      </c>
    </row>
    <row r="3" spans="2:8" x14ac:dyDescent="0.2">
      <c r="B3" s="1">
        <v>1</v>
      </c>
      <c r="C3" s="1" t="s">
        <v>1330</v>
      </c>
      <c r="E3" s="1" t="s">
        <v>1045</v>
      </c>
      <c r="F3" s="16">
        <v>0.2</v>
      </c>
      <c r="G3" s="1" t="s">
        <v>1331</v>
      </c>
      <c r="H3" s="1" t="s">
        <v>1332</v>
      </c>
    </row>
    <row r="4" spans="2:8" x14ac:dyDescent="0.2">
      <c r="B4" s="1">
        <v>2</v>
      </c>
      <c r="C4" s="1" t="s">
        <v>1333</v>
      </c>
      <c r="E4" s="1" t="s">
        <v>937</v>
      </c>
      <c r="F4" s="16">
        <v>0.15</v>
      </c>
      <c r="G4" s="1" t="s">
        <v>1334</v>
      </c>
      <c r="H4" s="1" t="s">
        <v>1335</v>
      </c>
    </row>
    <row r="5" spans="2:8" x14ac:dyDescent="0.2">
      <c r="E5" s="1" t="s">
        <v>1336</v>
      </c>
      <c r="F5" s="16">
        <v>0.15</v>
      </c>
      <c r="G5" s="1" t="s">
        <v>1337</v>
      </c>
      <c r="H5" s="1" t="s">
        <v>1338</v>
      </c>
    </row>
    <row r="6" spans="2:8" x14ac:dyDescent="0.2">
      <c r="E6" s="1" t="s">
        <v>2</v>
      </c>
      <c r="F6" s="16">
        <v>0.15</v>
      </c>
      <c r="G6" s="1" t="s">
        <v>949</v>
      </c>
      <c r="H6" s="1" t="s">
        <v>1339</v>
      </c>
    </row>
    <row r="7" spans="2:8" x14ac:dyDescent="0.2">
      <c r="E7" s="1" t="s">
        <v>945</v>
      </c>
      <c r="F7" s="16">
        <v>0.15</v>
      </c>
      <c r="G7" s="1" t="s">
        <v>1340</v>
      </c>
      <c r="H7" s="1" t="s">
        <v>1341</v>
      </c>
    </row>
    <row r="8" spans="2:8" x14ac:dyDescent="0.2">
      <c r="E8" s="1" t="s">
        <v>1342</v>
      </c>
      <c r="F8" s="16">
        <v>0.1</v>
      </c>
      <c r="G8" s="1" t="s">
        <v>1343</v>
      </c>
      <c r="H8" s="1" t="s">
        <v>1344</v>
      </c>
    </row>
    <row r="9" spans="2:8" x14ac:dyDescent="0.2">
      <c r="E9" s="1" t="s">
        <v>1345</v>
      </c>
      <c r="F9" s="16">
        <v>0.1</v>
      </c>
      <c r="G9" s="1" t="s">
        <v>1346</v>
      </c>
      <c r="H9" s="1" t="s">
        <v>1347</v>
      </c>
    </row>
    <row r="11" spans="2:8" ht="15.5" customHeight="1" x14ac:dyDescent="0.2">
      <c r="E11" s="17" t="s">
        <v>1348</v>
      </c>
      <c r="F11" s="15"/>
      <c r="G11" s="15"/>
      <c r="H11" s="15"/>
    </row>
    <row r="12" spans="2:8" x14ac:dyDescent="0.2">
      <c r="E12" s="12" t="s">
        <v>82</v>
      </c>
      <c r="F12" s="12" t="s">
        <v>341</v>
      </c>
      <c r="G12" s="12" t="s">
        <v>931</v>
      </c>
      <c r="H12" s="12" t="s">
        <v>1</v>
      </c>
    </row>
    <row r="13" spans="2:8" x14ac:dyDescent="0.2">
      <c r="E13" s="1" t="s">
        <v>1349</v>
      </c>
      <c r="F13" s="16">
        <v>0.2</v>
      </c>
      <c r="G13" s="1" t="s">
        <v>1350</v>
      </c>
      <c r="H13" s="1" t="s">
        <v>1351</v>
      </c>
    </row>
    <row r="14" spans="2:8" x14ac:dyDescent="0.2">
      <c r="E14" s="1" t="s">
        <v>937</v>
      </c>
      <c r="F14" s="16">
        <v>0.15</v>
      </c>
      <c r="G14" s="1" t="s">
        <v>1352</v>
      </c>
      <c r="H14" s="1" t="s">
        <v>1353</v>
      </c>
    </row>
    <row r="15" spans="2:8" x14ac:dyDescent="0.2">
      <c r="E15" s="1" t="s">
        <v>1354</v>
      </c>
      <c r="F15" s="16">
        <v>0.15</v>
      </c>
      <c r="G15" s="1" t="s">
        <v>1355</v>
      </c>
      <c r="H15" s="1" t="s">
        <v>1356</v>
      </c>
    </row>
    <row r="16" spans="2:8" x14ac:dyDescent="0.2">
      <c r="E16" s="1" t="s">
        <v>968</v>
      </c>
      <c r="F16" s="16">
        <v>0.15</v>
      </c>
      <c r="G16" s="1" t="s">
        <v>969</v>
      </c>
      <c r="H16" s="1" t="s">
        <v>1357</v>
      </c>
    </row>
    <row r="17" spans="5:8" x14ac:dyDescent="0.2">
      <c r="E17" s="1" t="s">
        <v>2</v>
      </c>
      <c r="F17" s="16">
        <v>0.15</v>
      </c>
      <c r="G17" s="1" t="s">
        <v>982</v>
      </c>
      <c r="H17" s="1" t="s">
        <v>1358</v>
      </c>
    </row>
    <row r="18" spans="5:8" x14ac:dyDescent="0.2">
      <c r="E18" s="1" t="s">
        <v>1359</v>
      </c>
      <c r="F18" s="16">
        <v>0.1</v>
      </c>
      <c r="G18" s="1" t="s">
        <v>1360</v>
      </c>
      <c r="H18" s="1" t="s">
        <v>1361</v>
      </c>
    </row>
    <row r="19" spans="5:8" x14ac:dyDescent="0.2">
      <c r="E19" s="1" t="s">
        <v>945</v>
      </c>
      <c r="F19" s="16">
        <v>0.1</v>
      </c>
      <c r="G19" s="1" t="s">
        <v>1340</v>
      </c>
      <c r="H19" s="1" t="s">
        <v>1362</v>
      </c>
    </row>
    <row r="21" spans="5:8" ht="15.5" customHeight="1" x14ac:dyDescent="0.2">
      <c r="E21" s="17" t="s">
        <v>1363</v>
      </c>
      <c r="F21" s="15"/>
      <c r="G21" s="15"/>
      <c r="H21" s="15"/>
    </row>
    <row r="22" spans="5:8" x14ac:dyDescent="0.2">
      <c r="E22" s="12" t="s">
        <v>82</v>
      </c>
      <c r="F22" s="12" t="s">
        <v>341</v>
      </c>
      <c r="G22" s="12" t="s">
        <v>931</v>
      </c>
      <c r="H22" s="12" t="s">
        <v>1</v>
      </c>
    </row>
    <row r="23" spans="5:8" x14ac:dyDescent="0.2">
      <c r="E23" s="1" t="s">
        <v>933</v>
      </c>
      <c r="F23" s="16">
        <v>0.15</v>
      </c>
      <c r="G23" s="1" t="s">
        <v>934</v>
      </c>
      <c r="H23" s="1" t="s">
        <v>1364</v>
      </c>
    </row>
    <row r="24" spans="5:8" x14ac:dyDescent="0.2">
      <c r="E24" s="1" t="s">
        <v>937</v>
      </c>
      <c r="F24" s="16">
        <v>0.15</v>
      </c>
      <c r="G24" s="1" t="s">
        <v>966</v>
      </c>
      <c r="H24" s="1" t="s">
        <v>1365</v>
      </c>
    </row>
    <row r="25" spans="5:8" x14ac:dyDescent="0.2">
      <c r="E25" s="1" t="s">
        <v>1366</v>
      </c>
      <c r="F25" s="16">
        <v>0.15</v>
      </c>
      <c r="G25" s="1" t="s">
        <v>1367</v>
      </c>
      <c r="H25" s="1" t="s">
        <v>1368</v>
      </c>
    </row>
    <row r="26" spans="5:8" x14ac:dyDescent="0.2">
      <c r="E26" s="1" t="s">
        <v>945</v>
      </c>
      <c r="F26" s="16">
        <v>0.15</v>
      </c>
      <c r="G26" s="1" t="s">
        <v>1369</v>
      </c>
      <c r="H26" s="1" t="s">
        <v>1370</v>
      </c>
    </row>
    <row r="27" spans="5:8" x14ac:dyDescent="0.2">
      <c r="E27" s="1" t="s">
        <v>2</v>
      </c>
      <c r="F27" s="16">
        <v>0.15</v>
      </c>
      <c r="G27" s="1" t="s">
        <v>949</v>
      </c>
      <c r="H27" s="1" t="s">
        <v>1371</v>
      </c>
    </row>
    <row r="28" spans="5:8" x14ac:dyDescent="0.2">
      <c r="E28" s="1" t="s">
        <v>1372</v>
      </c>
      <c r="F28" s="16">
        <v>0.15</v>
      </c>
      <c r="G28" s="1" t="s">
        <v>1373</v>
      </c>
      <c r="H28" s="1" t="s">
        <v>1374</v>
      </c>
    </row>
    <row r="29" spans="5:8" x14ac:dyDescent="0.2">
      <c r="E29" s="1" t="s">
        <v>1375</v>
      </c>
      <c r="F29" s="16">
        <v>0.1</v>
      </c>
      <c r="G29" s="1" t="s">
        <v>1343</v>
      </c>
      <c r="H29" s="1" t="s">
        <v>1376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67"/>
  <sheetViews>
    <sheetView zoomScale="88" workbookViewId="0">
      <selection activeCell="D6" sqref="D6"/>
    </sheetView>
  </sheetViews>
  <sheetFormatPr baseColWidth="10" defaultColWidth="8.83203125" defaultRowHeight="15" x14ac:dyDescent="0.2"/>
  <cols>
    <col min="1" max="1" width="2.5" customWidth="1"/>
    <col min="3" max="3" width="35.5" bestFit="1" customWidth="1"/>
    <col min="5" max="5" width="24.33203125" customWidth="1"/>
    <col min="7" max="7" width="28.1640625" bestFit="1" customWidth="1"/>
    <col min="8" max="8" width="195.1640625" bestFit="1" customWidth="1"/>
  </cols>
  <sheetData>
    <row r="2" spans="2:8" ht="17.5" customHeight="1" x14ac:dyDescent="0.2">
      <c r="B2" s="7" t="s">
        <v>81</v>
      </c>
      <c r="C2" s="4" t="s">
        <v>1377</v>
      </c>
      <c r="E2" s="8" t="s">
        <v>930</v>
      </c>
      <c r="F2" s="8" t="s">
        <v>341</v>
      </c>
      <c r="G2" s="12" t="s">
        <v>931</v>
      </c>
      <c r="H2" s="1" t="s">
        <v>1091</v>
      </c>
    </row>
    <row r="3" spans="2:8" ht="16" x14ac:dyDescent="0.2">
      <c r="B3" s="1">
        <v>1</v>
      </c>
      <c r="C3" s="5" t="s">
        <v>1378</v>
      </c>
      <c r="E3" s="9" t="s">
        <v>968</v>
      </c>
      <c r="F3" s="10">
        <v>0.15</v>
      </c>
      <c r="G3" s="14" t="s">
        <v>1379</v>
      </c>
      <c r="H3" s="1" t="s">
        <v>1380</v>
      </c>
    </row>
    <row r="4" spans="2:8" ht="16" x14ac:dyDescent="0.2">
      <c r="B4" s="1">
        <v>2</v>
      </c>
      <c r="C4" s="5" t="s">
        <v>1381</v>
      </c>
      <c r="E4" s="9" t="s">
        <v>1382</v>
      </c>
      <c r="F4" s="10">
        <v>0.15</v>
      </c>
      <c r="G4" s="14" t="s">
        <v>1346</v>
      </c>
      <c r="H4" s="1" t="s">
        <v>1347</v>
      </c>
    </row>
    <row r="5" spans="2:8" ht="16" x14ac:dyDescent="0.2">
      <c r="B5" s="1">
        <v>3</v>
      </c>
      <c r="C5" s="5" t="s">
        <v>1383</v>
      </c>
      <c r="E5" s="9" t="s">
        <v>2</v>
      </c>
      <c r="F5" s="10">
        <v>0.15</v>
      </c>
      <c r="G5" s="14" t="s">
        <v>949</v>
      </c>
      <c r="H5" s="1" t="s">
        <v>1384</v>
      </c>
    </row>
    <row r="6" spans="2:8" ht="16" x14ac:dyDescent="0.2">
      <c r="B6" s="1">
        <v>4</v>
      </c>
      <c r="C6" s="5" t="s">
        <v>1385</v>
      </c>
      <c r="E6" s="9" t="s">
        <v>1386</v>
      </c>
      <c r="F6" s="10">
        <v>0.1</v>
      </c>
      <c r="G6" s="14" t="s">
        <v>1387</v>
      </c>
      <c r="H6" s="1" t="s">
        <v>1388</v>
      </c>
    </row>
    <row r="7" spans="2:8" ht="16" x14ac:dyDescent="0.2">
      <c r="B7" s="1">
        <v>5</v>
      </c>
      <c r="C7" s="5" t="s">
        <v>1389</v>
      </c>
      <c r="E7" s="9" t="s">
        <v>1390</v>
      </c>
      <c r="F7" s="10">
        <v>0.1</v>
      </c>
      <c r="G7" s="14" t="s">
        <v>1391</v>
      </c>
      <c r="H7" s="1" t="s">
        <v>1392</v>
      </c>
    </row>
    <row r="8" spans="2:8" x14ac:dyDescent="0.2">
      <c r="B8" s="1">
        <v>6</v>
      </c>
      <c r="C8" s="1" t="s">
        <v>1393</v>
      </c>
    </row>
    <row r="9" spans="2:8" ht="15.5" customHeight="1" x14ac:dyDescent="0.2">
      <c r="E9" s="17" t="s">
        <v>1394</v>
      </c>
      <c r="F9" s="15"/>
      <c r="G9" s="15"/>
      <c r="H9" s="15"/>
    </row>
    <row r="10" spans="2:8" x14ac:dyDescent="0.2">
      <c r="E10" s="12" t="s">
        <v>82</v>
      </c>
      <c r="F10" s="12" t="s">
        <v>341</v>
      </c>
      <c r="G10" s="12" t="s">
        <v>931</v>
      </c>
      <c r="H10" s="12" t="s">
        <v>1</v>
      </c>
    </row>
    <row r="11" spans="2:8" x14ac:dyDescent="0.2">
      <c r="E11" s="1" t="s">
        <v>933</v>
      </c>
      <c r="F11" s="16">
        <v>0.2</v>
      </c>
      <c r="G11" s="1" t="s">
        <v>934</v>
      </c>
      <c r="H11" s="1" t="s">
        <v>1395</v>
      </c>
    </row>
    <row r="12" spans="2:8" x14ac:dyDescent="0.2">
      <c r="E12" s="1" t="s">
        <v>937</v>
      </c>
      <c r="F12" s="16">
        <v>0.15</v>
      </c>
      <c r="G12" s="1" t="s">
        <v>1147</v>
      </c>
      <c r="H12" s="1" t="s">
        <v>1396</v>
      </c>
    </row>
    <row r="13" spans="2:8" x14ac:dyDescent="0.2">
      <c r="E13" s="1" t="s">
        <v>1397</v>
      </c>
      <c r="F13" s="16">
        <v>0.15</v>
      </c>
      <c r="G13" s="1" t="s">
        <v>1398</v>
      </c>
      <c r="H13" s="1" t="s">
        <v>1399</v>
      </c>
    </row>
    <row r="14" spans="2:8" x14ac:dyDescent="0.2">
      <c r="E14" s="1" t="s">
        <v>1400</v>
      </c>
      <c r="F14" s="16">
        <v>0.15</v>
      </c>
      <c r="G14" s="1" t="s">
        <v>1401</v>
      </c>
      <c r="H14" s="1" t="s">
        <v>1402</v>
      </c>
    </row>
    <row r="15" spans="2:8" x14ac:dyDescent="0.2">
      <c r="E15" s="1" t="s">
        <v>1403</v>
      </c>
      <c r="F15" s="16">
        <v>0.15</v>
      </c>
      <c r="G15" s="1" t="s">
        <v>1404</v>
      </c>
      <c r="H15" s="1" t="s">
        <v>1405</v>
      </c>
    </row>
    <row r="16" spans="2:8" x14ac:dyDescent="0.2">
      <c r="E16" s="1" t="s">
        <v>2</v>
      </c>
      <c r="F16" s="16">
        <v>0.2</v>
      </c>
      <c r="G16" s="1" t="s">
        <v>974</v>
      </c>
      <c r="H16" s="1" t="s">
        <v>1406</v>
      </c>
    </row>
    <row r="17" spans="5:8" x14ac:dyDescent="0.2">
      <c r="E17" s="1"/>
      <c r="F17" s="1"/>
      <c r="G17" s="1"/>
      <c r="H17" s="1"/>
    </row>
    <row r="18" spans="5:8" ht="15.5" customHeight="1" x14ac:dyDescent="0.2">
      <c r="E18" s="17" t="s">
        <v>1407</v>
      </c>
      <c r="F18" s="15"/>
      <c r="G18" s="15"/>
      <c r="H18" s="15"/>
    </row>
    <row r="19" spans="5:8" x14ac:dyDescent="0.2">
      <c r="E19" s="12" t="s">
        <v>82</v>
      </c>
      <c r="F19" s="12" t="s">
        <v>341</v>
      </c>
      <c r="G19" s="12" t="s">
        <v>931</v>
      </c>
      <c r="H19" s="12" t="s">
        <v>1</v>
      </c>
    </row>
    <row r="20" spans="5:8" x14ac:dyDescent="0.2">
      <c r="E20" s="1" t="s">
        <v>1045</v>
      </c>
      <c r="F20" s="16">
        <v>0.2</v>
      </c>
      <c r="G20" s="1" t="s">
        <v>1408</v>
      </c>
      <c r="H20" s="1" t="s">
        <v>1409</v>
      </c>
    </row>
    <row r="21" spans="5:8" x14ac:dyDescent="0.2">
      <c r="E21" s="1" t="s">
        <v>937</v>
      </c>
      <c r="F21" s="16">
        <v>0.15</v>
      </c>
      <c r="G21" s="1" t="s">
        <v>1011</v>
      </c>
      <c r="H21" s="1" t="s">
        <v>1410</v>
      </c>
    </row>
    <row r="22" spans="5:8" x14ac:dyDescent="0.2">
      <c r="E22" s="1" t="s">
        <v>1411</v>
      </c>
      <c r="F22" s="16">
        <v>0.15</v>
      </c>
      <c r="G22" s="1" t="s">
        <v>1412</v>
      </c>
      <c r="H22" s="1" t="s">
        <v>1413</v>
      </c>
    </row>
    <row r="23" spans="5:8" x14ac:dyDescent="0.2">
      <c r="E23" s="1" t="s">
        <v>1414</v>
      </c>
      <c r="F23" s="16">
        <v>0.15</v>
      </c>
      <c r="G23" s="1" t="s">
        <v>1415</v>
      </c>
      <c r="H23" s="1" t="s">
        <v>1416</v>
      </c>
    </row>
    <row r="24" spans="5:8" x14ac:dyDescent="0.2">
      <c r="E24" s="1" t="s">
        <v>968</v>
      </c>
      <c r="F24" s="16">
        <v>0.15</v>
      </c>
      <c r="G24" s="1" t="s">
        <v>1379</v>
      </c>
      <c r="H24" s="1" t="s">
        <v>1417</v>
      </c>
    </row>
    <row r="25" spans="5:8" x14ac:dyDescent="0.2">
      <c r="E25" s="1" t="s">
        <v>2</v>
      </c>
      <c r="F25" s="16">
        <v>0.2</v>
      </c>
      <c r="G25" s="1" t="s">
        <v>949</v>
      </c>
      <c r="H25" s="1" t="s">
        <v>1418</v>
      </c>
    </row>
    <row r="26" spans="5:8" x14ac:dyDescent="0.2">
      <c r="E26" s="1"/>
      <c r="F26" s="1"/>
      <c r="G26" s="1"/>
      <c r="H26" s="1"/>
    </row>
    <row r="27" spans="5:8" ht="15.5" customHeight="1" x14ac:dyDescent="0.2">
      <c r="E27" s="17" t="s">
        <v>1419</v>
      </c>
      <c r="F27" s="15"/>
      <c r="G27" s="15"/>
      <c r="H27" s="15"/>
    </row>
    <row r="28" spans="5:8" x14ac:dyDescent="0.2">
      <c r="E28" s="12" t="s">
        <v>82</v>
      </c>
      <c r="F28" s="12" t="s">
        <v>341</v>
      </c>
      <c r="G28" s="12" t="s">
        <v>931</v>
      </c>
      <c r="H28" s="12" t="s">
        <v>1</v>
      </c>
    </row>
    <row r="29" spans="5:8" x14ac:dyDescent="0.2">
      <c r="E29" s="1" t="s">
        <v>933</v>
      </c>
      <c r="F29" s="16">
        <v>0.2</v>
      </c>
      <c r="G29" s="1" t="s">
        <v>1408</v>
      </c>
      <c r="H29" s="1" t="s">
        <v>1420</v>
      </c>
    </row>
    <row r="30" spans="5:8" x14ac:dyDescent="0.2">
      <c r="E30" s="1" t="s">
        <v>1421</v>
      </c>
      <c r="F30" s="16">
        <v>0.2</v>
      </c>
      <c r="G30" s="1" t="s">
        <v>1422</v>
      </c>
      <c r="H30" s="1" t="s">
        <v>1423</v>
      </c>
    </row>
    <row r="31" spans="5:8" x14ac:dyDescent="0.2">
      <c r="E31" s="1" t="s">
        <v>1424</v>
      </c>
      <c r="F31" s="16">
        <v>0.2</v>
      </c>
      <c r="G31" s="1" t="s">
        <v>1425</v>
      </c>
      <c r="H31" s="1" t="s">
        <v>1426</v>
      </c>
    </row>
    <row r="32" spans="5:8" x14ac:dyDescent="0.2">
      <c r="E32" s="1" t="s">
        <v>1382</v>
      </c>
      <c r="F32" s="16">
        <v>0.2</v>
      </c>
      <c r="G32" s="1" t="s">
        <v>1427</v>
      </c>
      <c r="H32" s="1" t="s">
        <v>1428</v>
      </c>
    </row>
    <row r="33" spans="5:8" x14ac:dyDescent="0.2">
      <c r="E33" s="1" t="s">
        <v>2</v>
      </c>
      <c r="F33" s="16">
        <v>0.2</v>
      </c>
      <c r="G33" s="1" t="s">
        <v>974</v>
      </c>
      <c r="H33" s="1" t="s">
        <v>1429</v>
      </c>
    </row>
    <row r="34" spans="5:8" x14ac:dyDescent="0.2">
      <c r="E34" s="1"/>
      <c r="F34" s="1"/>
      <c r="G34" s="1"/>
      <c r="H34" s="1"/>
    </row>
    <row r="35" spans="5:8" ht="15.5" customHeight="1" x14ac:dyDescent="0.2">
      <c r="E35" s="17" t="s">
        <v>1430</v>
      </c>
      <c r="F35" s="15"/>
      <c r="G35" s="15"/>
      <c r="H35" s="15"/>
    </row>
    <row r="36" spans="5:8" x14ac:dyDescent="0.2">
      <c r="E36" s="12" t="s">
        <v>82</v>
      </c>
      <c r="F36" s="12" t="s">
        <v>341</v>
      </c>
      <c r="G36" s="12" t="s">
        <v>931</v>
      </c>
      <c r="H36" s="12" t="s">
        <v>1</v>
      </c>
    </row>
    <row r="37" spans="5:8" x14ac:dyDescent="0.2">
      <c r="E37" s="1" t="s">
        <v>933</v>
      </c>
      <c r="F37" s="16">
        <v>0.15</v>
      </c>
      <c r="G37" s="1" t="s">
        <v>934</v>
      </c>
      <c r="H37" s="1" t="s">
        <v>1431</v>
      </c>
    </row>
    <row r="38" spans="5:8" x14ac:dyDescent="0.2">
      <c r="E38" s="1" t="s">
        <v>1421</v>
      </c>
      <c r="F38" s="16">
        <v>0.2</v>
      </c>
      <c r="G38" s="1" t="s">
        <v>1422</v>
      </c>
      <c r="H38" s="1" t="s">
        <v>1432</v>
      </c>
    </row>
    <row r="39" spans="5:8" x14ac:dyDescent="0.2">
      <c r="E39" s="1" t="s">
        <v>1323</v>
      </c>
      <c r="F39" s="16">
        <v>0.2</v>
      </c>
      <c r="G39" s="1" t="s">
        <v>1433</v>
      </c>
      <c r="H39" s="1" t="s">
        <v>1434</v>
      </c>
    </row>
    <row r="40" spans="5:8" x14ac:dyDescent="0.2">
      <c r="E40" s="1" t="s">
        <v>1345</v>
      </c>
      <c r="F40" s="16">
        <v>0.15</v>
      </c>
      <c r="G40" s="1" t="s">
        <v>1435</v>
      </c>
      <c r="H40" s="1" t="s">
        <v>1436</v>
      </c>
    </row>
    <row r="41" spans="5:8" x14ac:dyDescent="0.2">
      <c r="E41" s="1" t="s">
        <v>937</v>
      </c>
      <c r="F41" s="16">
        <v>0.15</v>
      </c>
      <c r="G41" s="1" t="s">
        <v>966</v>
      </c>
      <c r="H41" s="1" t="s">
        <v>1437</v>
      </c>
    </row>
    <row r="42" spans="5:8" x14ac:dyDescent="0.2">
      <c r="E42" s="1" t="s">
        <v>2</v>
      </c>
      <c r="F42" s="16">
        <v>0.15</v>
      </c>
      <c r="G42" s="1" t="s">
        <v>949</v>
      </c>
      <c r="H42" s="1" t="s">
        <v>1438</v>
      </c>
    </row>
    <row r="43" spans="5:8" x14ac:dyDescent="0.2">
      <c r="E43" s="1"/>
      <c r="F43" s="1"/>
      <c r="G43" s="1"/>
      <c r="H43" s="1"/>
    </row>
    <row r="44" spans="5:8" ht="15.5" customHeight="1" x14ac:dyDescent="0.2">
      <c r="E44" s="17" t="s">
        <v>1439</v>
      </c>
      <c r="F44" s="15"/>
      <c r="G44" s="15"/>
      <c r="H44" s="15"/>
    </row>
    <row r="45" spans="5:8" x14ac:dyDescent="0.2">
      <c r="E45" s="12" t="s">
        <v>82</v>
      </c>
      <c r="F45" s="12" t="s">
        <v>341</v>
      </c>
      <c r="G45" s="12" t="s">
        <v>931</v>
      </c>
      <c r="H45" s="12" t="s">
        <v>1</v>
      </c>
    </row>
    <row r="46" spans="5:8" x14ac:dyDescent="0.2">
      <c r="E46" s="1" t="s">
        <v>1440</v>
      </c>
      <c r="F46" s="16">
        <v>0.2</v>
      </c>
      <c r="G46" s="1" t="s">
        <v>1441</v>
      </c>
      <c r="H46" s="1" t="s">
        <v>1442</v>
      </c>
    </row>
    <row r="47" spans="5:8" x14ac:dyDescent="0.2">
      <c r="E47" s="1" t="s">
        <v>1443</v>
      </c>
      <c r="F47" s="16">
        <v>0.2</v>
      </c>
      <c r="G47" s="1" t="s">
        <v>1444</v>
      </c>
      <c r="H47" s="1" t="s">
        <v>1445</v>
      </c>
    </row>
    <row r="48" spans="5:8" x14ac:dyDescent="0.2">
      <c r="E48" s="1" t="s">
        <v>1421</v>
      </c>
      <c r="F48" s="16">
        <v>0.15</v>
      </c>
      <c r="G48" s="1" t="s">
        <v>1446</v>
      </c>
      <c r="H48" s="1" t="s">
        <v>1447</v>
      </c>
    </row>
    <row r="49" spans="5:8" x14ac:dyDescent="0.2">
      <c r="E49" s="1" t="s">
        <v>1448</v>
      </c>
      <c r="F49" s="16">
        <v>0.15</v>
      </c>
      <c r="G49" s="1" t="s">
        <v>1449</v>
      </c>
      <c r="H49" s="1" t="s">
        <v>1450</v>
      </c>
    </row>
    <row r="50" spans="5:8" x14ac:dyDescent="0.2">
      <c r="E50" s="1" t="s">
        <v>1451</v>
      </c>
      <c r="F50" s="16">
        <v>0.15</v>
      </c>
      <c r="G50" s="1" t="s">
        <v>1452</v>
      </c>
      <c r="H50" s="1" t="s">
        <v>1453</v>
      </c>
    </row>
    <row r="51" spans="5:8" x14ac:dyDescent="0.2">
      <c r="E51" s="1" t="s">
        <v>1454</v>
      </c>
      <c r="F51" s="16">
        <v>0.15</v>
      </c>
      <c r="G51" s="1" t="s">
        <v>1455</v>
      </c>
      <c r="H51" s="1" t="s">
        <v>1456</v>
      </c>
    </row>
    <row r="53" spans="5:8" x14ac:dyDescent="0.2">
      <c r="E53" s="117" t="s">
        <v>1457</v>
      </c>
      <c r="F53" s="117" t="s">
        <v>341</v>
      </c>
      <c r="G53" s="117" t="s">
        <v>1210</v>
      </c>
      <c r="H53" s="117" t="s">
        <v>1211</v>
      </c>
    </row>
    <row r="54" spans="5:8" x14ac:dyDescent="0.2">
      <c r="E54" s="105" t="s">
        <v>1458</v>
      </c>
      <c r="F54" s="106">
        <v>0.2</v>
      </c>
      <c r="G54" s="107" t="s">
        <v>1459</v>
      </c>
      <c r="H54" s="105" t="s">
        <v>1460</v>
      </c>
    </row>
    <row r="55" spans="5:8" x14ac:dyDescent="0.2">
      <c r="E55" s="105" t="s">
        <v>1461</v>
      </c>
      <c r="F55" s="106">
        <v>0.15</v>
      </c>
      <c r="G55" s="107" t="s">
        <v>1462</v>
      </c>
      <c r="H55" s="105" t="s">
        <v>1463</v>
      </c>
    </row>
    <row r="56" spans="5:8" x14ac:dyDescent="0.2">
      <c r="E56" s="105" t="s">
        <v>1464</v>
      </c>
      <c r="F56" s="106">
        <v>0.2</v>
      </c>
      <c r="G56" s="107" t="s">
        <v>1465</v>
      </c>
      <c r="H56" s="105" t="s">
        <v>1466</v>
      </c>
    </row>
    <row r="57" spans="5:8" x14ac:dyDescent="0.2">
      <c r="E57" s="105" t="s">
        <v>1467</v>
      </c>
      <c r="F57" s="106">
        <v>0.15</v>
      </c>
      <c r="G57" s="107" t="s">
        <v>1468</v>
      </c>
      <c r="H57" s="105" t="s">
        <v>1469</v>
      </c>
    </row>
    <row r="58" spans="5:8" x14ac:dyDescent="0.2">
      <c r="E58" s="105" t="s">
        <v>1470</v>
      </c>
      <c r="F58" s="106">
        <v>0.15</v>
      </c>
      <c r="G58" s="107" t="s">
        <v>1471</v>
      </c>
      <c r="H58" s="105" t="s">
        <v>1472</v>
      </c>
    </row>
    <row r="59" spans="5:8" x14ac:dyDescent="0.2">
      <c r="E59" s="102" t="s">
        <v>1224</v>
      </c>
      <c r="F59" s="103">
        <v>0.15</v>
      </c>
      <c r="G59" s="104" t="s">
        <v>1473</v>
      </c>
      <c r="H59" s="102" t="s">
        <v>1474</v>
      </c>
    </row>
    <row r="61" spans="5:8" x14ac:dyDescent="0.2">
      <c r="E61" s="117" t="s">
        <v>1475</v>
      </c>
      <c r="F61" s="117" t="s">
        <v>341</v>
      </c>
      <c r="G61" s="117" t="s">
        <v>1210</v>
      </c>
      <c r="H61" s="117" t="s">
        <v>1211</v>
      </c>
    </row>
    <row r="62" spans="5:8" x14ac:dyDescent="0.2">
      <c r="E62" s="105" t="s">
        <v>1045</v>
      </c>
      <c r="F62" s="106">
        <v>0.2</v>
      </c>
      <c r="G62" s="107" t="s">
        <v>1476</v>
      </c>
      <c r="H62" s="105" t="s">
        <v>1477</v>
      </c>
    </row>
    <row r="63" spans="5:8" x14ac:dyDescent="0.2">
      <c r="E63" s="105" t="s">
        <v>937</v>
      </c>
      <c r="F63" s="106">
        <v>0.2</v>
      </c>
      <c r="G63" s="107" t="s">
        <v>1478</v>
      </c>
      <c r="H63" s="105" t="s">
        <v>1479</v>
      </c>
    </row>
    <row r="64" spans="5:8" x14ac:dyDescent="0.2">
      <c r="E64" s="105" t="s">
        <v>1480</v>
      </c>
      <c r="F64" s="106">
        <v>0.2</v>
      </c>
      <c r="G64" s="107" t="s">
        <v>1481</v>
      </c>
      <c r="H64" s="105" t="s">
        <v>1482</v>
      </c>
    </row>
    <row r="65" spans="5:8" x14ac:dyDescent="0.2">
      <c r="E65" s="105" t="s">
        <v>1483</v>
      </c>
      <c r="F65" s="106">
        <v>0.15</v>
      </c>
      <c r="G65" s="107" t="s">
        <v>1484</v>
      </c>
      <c r="H65" s="105" t="s">
        <v>1485</v>
      </c>
    </row>
    <row r="66" spans="5:8" x14ac:dyDescent="0.2">
      <c r="E66" s="105" t="s">
        <v>1486</v>
      </c>
      <c r="F66" s="106">
        <v>0.1</v>
      </c>
      <c r="G66" s="107" t="s">
        <v>1487</v>
      </c>
      <c r="H66" s="105" t="s">
        <v>1488</v>
      </c>
    </row>
    <row r="67" spans="5:8" x14ac:dyDescent="0.2">
      <c r="E67" s="102" t="s">
        <v>2</v>
      </c>
      <c r="F67" s="103">
        <v>0.15</v>
      </c>
      <c r="G67" s="104" t="s">
        <v>1489</v>
      </c>
      <c r="H67" s="102" t="s">
        <v>1490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H26"/>
  <sheetViews>
    <sheetView zoomScale="61" workbookViewId="0">
      <selection activeCell="C7" sqref="C7"/>
    </sheetView>
  </sheetViews>
  <sheetFormatPr baseColWidth="10" defaultColWidth="8.83203125" defaultRowHeight="15" x14ac:dyDescent="0.2"/>
  <cols>
    <col min="1" max="1" width="2.6640625" customWidth="1"/>
    <col min="2" max="2" width="5.5" customWidth="1"/>
    <col min="3" max="3" width="20.33203125" bestFit="1" customWidth="1"/>
    <col min="4" max="4" width="2.6640625" customWidth="1"/>
    <col min="5" max="5" width="32.6640625" customWidth="1"/>
    <col min="6" max="6" width="10" customWidth="1"/>
    <col min="7" max="7" width="23.6640625" customWidth="1"/>
    <col min="8" max="8" width="72.6640625" customWidth="1"/>
  </cols>
  <sheetData>
    <row r="2" spans="2:8" ht="15.5" customHeight="1" x14ac:dyDescent="0.2">
      <c r="B2" s="1" t="s">
        <v>81</v>
      </c>
      <c r="C2" s="136" t="s">
        <v>1491</v>
      </c>
      <c r="E2" s="12" t="s">
        <v>930</v>
      </c>
      <c r="F2" s="12" t="s">
        <v>341</v>
      </c>
      <c r="G2" s="12" t="s">
        <v>931</v>
      </c>
      <c r="H2" s="12" t="s">
        <v>1</v>
      </c>
    </row>
    <row r="3" spans="2:8" x14ac:dyDescent="0.2">
      <c r="B3" s="1">
        <v>1</v>
      </c>
      <c r="C3" s="1" t="s">
        <v>1492</v>
      </c>
      <c r="E3" s="1" t="s">
        <v>933</v>
      </c>
      <c r="F3" s="16">
        <v>0.15</v>
      </c>
      <c r="G3" s="1" t="s">
        <v>934</v>
      </c>
      <c r="H3" s="1" t="s">
        <v>1493</v>
      </c>
    </row>
    <row r="4" spans="2:8" x14ac:dyDescent="0.2">
      <c r="B4" s="1">
        <v>2</v>
      </c>
      <c r="C4" s="1" t="s">
        <v>1494</v>
      </c>
      <c r="E4" s="1" t="s">
        <v>937</v>
      </c>
      <c r="F4" s="16">
        <v>0.2</v>
      </c>
      <c r="G4" s="1" t="s">
        <v>1495</v>
      </c>
      <c r="H4" s="1" t="s">
        <v>1496</v>
      </c>
    </row>
    <row r="5" spans="2:8" x14ac:dyDescent="0.2">
      <c r="E5" s="1" t="s">
        <v>1497</v>
      </c>
      <c r="F5" s="16">
        <v>0.15</v>
      </c>
      <c r="G5" s="1" t="s">
        <v>1498</v>
      </c>
      <c r="H5" s="1" t="s">
        <v>1499</v>
      </c>
    </row>
    <row r="6" spans="2:8" x14ac:dyDescent="0.2">
      <c r="E6" s="1" t="s">
        <v>1500</v>
      </c>
      <c r="F6" s="16">
        <v>0.2</v>
      </c>
      <c r="G6" s="1" t="s">
        <v>1501</v>
      </c>
      <c r="H6" s="1" t="s">
        <v>1502</v>
      </c>
    </row>
    <row r="7" spans="2:8" x14ac:dyDescent="0.2">
      <c r="E7" s="1" t="s">
        <v>1503</v>
      </c>
      <c r="F7" s="16">
        <v>0.15</v>
      </c>
      <c r="G7" s="1" t="s">
        <v>1427</v>
      </c>
      <c r="H7" s="1" t="s">
        <v>1504</v>
      </c>
    </row>
    <row r="8" spans="2:8" x14ac:dyDescent="0.2">
      <c r="E8" s="1" t="s">
        <v>2</v>
      </c>
      <c r="F8" s="16">
        <v>0.15</v>
      </c>
      <c r="G8" s="1" t="s">
        <v>974</v>
      </c>
      <c r="H8" s="1" t="s">
        <v>1505</v>
      </c>
    </row>
    <row r="10" spans="2:8" ht="15.5" customHeight="1" x14ac:dyDescent="0.2">
      <c r="E10" s="17" t="s">
        <v>1506</v>
      </c>
      <c r="F10" s="15"/>
      <c r="G10" s="15"/>
      <c r="H10" s="15"/>
    </row>
    <row r="11" spans="2:8" x14ac:dyDescent="0.2">
      <c r="E11" s="12" t="s">
        <v>82</v>
      </c>
      <c r="F11" s="12" t="s">
        <v>341</v>
      </c>
      <c r="G11" s="12" t="s">
        <v>931</v>
      </c>
      <c r="H11" s="12" t="s">
        <v>1</v>
      </c>
    </row>
    <row r="12" spans="2:8" x14ac:dyDescent="0.2">
      <c r="E12" s="1" t="s">
        <v>933</v>
      </c>
      <c r="F12" s="16">
        <v>0.15</v>
      </c>
      <c r="G12" s="1" t="s">
        <v>934</v>
      </c>
      <c r="H12" s="1" t="s">
        <v>1507</v>
      </c>
    </row>
    <row r="13" spans="2:8" x14ac:dyDescent="0.2">
      <c r="E13" s="1" t="s">
        <v>937</v>
      </c>
      <c r="F13" s="16">
        <v>0.2</v>
      </c>
      <c r="G13" s="1" t="s">
        <v>1495</v>
      </c>
      <c r="H13" s="1" t="s">
        <v>1508</v>
      </c>
    </row>
    <row r="14" spans="2:8" x14ac:dyDescent="0.2">
      <c r="E14" s="1" t="s">
        <v>1497</v>
      </c>
      <c r="F14" s="16">
        <v>0.15</v>
      </c>
      <c r="G14" s="1" t="s">
        <v>1509</v>
      </c>
      <c r="H14" s="1" t="s">
        <v>1510</v>
      </c>
    </row>
    <row r="15" spans="2:8" x14ac:dyDescent="0.2">
      <c r="E15" s="1" t="s">
        <v>1500</v>
      </c>
      <c r="F15" s="16">
        <v>0.2</v>
      </c>
      <c r="G15" s="1" t="s">
        <v>1501</v>
      </c>
      <c r="H15" s="1" t="s">
        <v>1511</v>
      </c>
    </row>
    <row r="16" spans="2:8" x14ac:dyDescent="0.2">
      <c r="E16" s="1" t="s">
        <v>1503</v>
      </c>
      <c r="F16" s="16">
        <v>0.15</v>
      </c>
      <c r="G16" s="1" t="s">
        <v>1427</v>
      </c>
      <c r="H16" s="1" t="s">
        <v>1512</v>
      </c>
    </row>
    <row r="17" spans="5:8" x14ac:dyDescent="0.2">
      <c r="E17" s="1" t="s">
        <v>2</v>
      </c>
      <c r="F17" s="16">
        <v>0.15</v>
      </c>
      <c r="G17" s="1" t="s">
        <v>974</v>
      </c>
      <c r="H17" s="1" t="s">
        <v>1513</v>
      </c>
    </row>
    <row r="19" spans="5:8" ht="15.5" customHeight="1" x14ac:dyDescent="0.2">
      <c r="E19" s="17" t="s">
        <v>1514</v>
      </c>
      <c r="F19" s="15"/>
      <c r="G19" s="15"/>
      <c r="H19" s="15"/>
    </row>
    <row r="20" spans="5:8" x14ac:dyDescent="0.2">
      <c r="E20" s="12" t="s">
        <v>82</v>
      </c>
      <c r="F20" s="12" t="s">
        <v>341</v>
      </c>
      <c r="G20" s="12" t="s">
        <v>931</v>
      </c>
      <c r="H20" s="12" t="s">
        <v>1</v>
      </c>
    </row>
    <row r="21" spans="5:8" x14ac:dyDescent="0.2">
      <c r="E21" s="1" t="s">
        <v>933</v>
      </c>
      <c r="F21" s="16">
        <v>0.2</v>
      </c>
      <c r="G21" s="1" t="s">
        <v>1515</v>
      </c>
      <c r="H21" s="1" t="s">
        <v>1516</v>
      </c>
    </row>
    <row r="22" spans="5:8" x14ac:dyDescent="0.2">
      <c r="E22" s="1" t="s">
        <v>937</v>
      </c>
      <c r="F22" s="16">
        <v>0.2</v>
      </c>
      <c r="G22" s="1" t="s">
        <v>1517</v>
      </c>
      <c r="H22" s="1" t="s">
        <v>1518</v>
      </c>
    </row>
    <row r="23" spans="5:8" x14ac:dyDescent="0.2">
      <c r="E23" s="1" t="s">
        <v>1519</v>
      </c>
      <c r="F23" s="16">
        <v>0.15</v>
      </c>
      <c r="G23" s="1" t="s">
        <v>1520</v>
      </c>
      <c r="H23" s="1" t="s">
        <v>1521</v>
      </c>
    </row>
    <row r="24" spans="5:8" x14ac:dyDescent="0.2">
      <c r="E24" s="1" t="s">
        <v>1522</v>
      </c>
      <c r="F24" s="16">
        <v>0.15</v>
      </c>
      <c r="G24" s="1" t="s">
        <v>1523</v>
      </c>
      <c r="H24" s="1" t="s">
        <v>1524</v>
      </c>
    </row>
    <row r="25" spans="5:8" x14ac:dyDescent="0.2">
      <c r="E25" s="1" t="s">
        <v>945</v>
      </c>
      <c r="F25" s="16">
        <v>0.15</v>
      </c>
      <c r="G25" s="1" t="s">
        <v>1525</v>
      </c>
      <c r="H25" s="1" t="s">
        <v>1526</v>
      </c>
    </row>
    <row r="26" spans="5:8" x14ac:dyDescent="0.2">
      <c r="E26" s="1" t="s">
        <v>2</v>
      </c>
      <c r="F26" s="16">
        <v>0.15</v>
      </c>
      <c r="G26" s="1" t="s">
        <v>949</v>
      </c>
      <c r="H26" s="1" t="s">
        <v>1527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H67"/>
  <sheetViews>
    <sheetView workbookViewId="0">
      <pane ySplit="1" topLeftCell="A2" activePane="bottomLeft" state="frozen"/>
      <selection pane="bottomLeft" activeCell="C16" sqref="C16"/>
    </sheetView>
  </sheetViews>
  <sheetFormatPr baseColWidth="10" defaultColWidth="8.83203125" defaultRowHeight="15" x14ac:dyDescent="0.2"/>
  <cols>
    <col min="1" max="1" width="2.6640625" customWidth="1"/>
    <col min="2" max="2" width="5.5" customWidth="1"/>
    <col min="3" max="3" width="55.33203125" bestFit="1" customWidth="1"/>
    <col min="4" max="4" width="2.6640625" customWidth="1"/>
    <col min="5" max="5" width="36.33203125" customWidth="1"/>
    <col min="6" max="6" width="9.1640625" customWidth="1"/>
    <col min="7" max="7" width="36.33203125" customWidth="1"/>
    <col min="8" max="8" width="90.83203125" customWidth="1"/>
  </cols>
  <sheetData>
    <row r="2" spans="2:8" ht="17" customHeight="1" x14ac:dyDescent="0.2">
      <c r="B2" s="84" t="s">
        <v>81</v>
      </c>
      <c r="C2" s="85" t="s">
        <v>1528</v>
      </c>
      <c r="E2" s="90" t="s">
        <v>930</v>
      </c>
      <c r="F2" s="90" t="s">
        <v>341</v>
      </c>
      <c r="G2" s="90" t="s">
        <v>931</v>
      </c>
      <c r="H2" s="91" t="s">
        <v>1091</v>
      </c>
    </row>
    <row r="3" spans="2:8" x14ac:dyDescent="0.2">
      <c r="B3" s="86">
        <v>1</v>
      </c>
      <c r="C3" s="87" t="s">
        <v>1529</v>
      </c>
      <c r="E3" s="94" t="s">
        <v>1530</v>
      </c>
      <c r="F3" s="92">
        <v>0.2</v>
      </c>
      <c r="G3" s="93" t="s">
        <v>1531</v>
      </c>
      <c r="H3" s="97" t="s">
        <v>1532</v>
      </c>
    </row>
    <row r="4" spans="2:8" x14ac:dyDescent="0.2">
      <c r="B4" s="86">
        <v>2</v>
      </c>
      <c r="C4" s="87" t="s">
        <v>1533</v>
      </c>
      <c r="E4" s="94" t="s">
        <v>1534</v>
      </c>
      <c r="F4" s="92">
        <v>0.2</v>
      </c>
      <c r="G4" s="93" t="s">
        <v>1535</v>
      </c>
      <c r="H4" s="97" t="s">
        <v>1536</v>
      </c>
    </row>
    <row r="5" spans="2:8" x14ac:dyDescent="0.2">
      <c r="B5" s="86">
        <v>3</v>
      </c>
      <c r="C5" s="87" t="s">
        <v>1537</v>
      </c>
      <c r="E5" s="94" t="s">
        <v>937</v>
      </c>
      <c r="F5" s="92">
        <v>0.15</v>
      </c>
      <c r="G5" s="93" t="s">
        <v>1538</v>
      </c>
      <c r="H5" s="97" t="s">
        <v>1539</v>
      </c>
    </row>
    <row r="6" spans="2:8" x14ac:dyDescent="0.2">
      <c r="B6" s="86">
        <v>4</v>
      </c>
      <c r="C6" s="87" t="s">
        <v>1540</v>
      </c>
      <c r="E6" s="94" t="s">
        <v>1541</v>
      </c>
      <c r="F6" s="92">
        <v>0.15</v>
      </c>
      <c r="G6" s="93" t="s">
        <v>1542</v>
      </c>
      <c r="H6" s="97" t="s">
        <v>1543</v>
      </c>
    </row>
    <row r="7" spans="2:8" x14ac:dyDescent="0.2">
      <c r="B7" s="86">
        <v>5</v>
      </c>
      <c r="C7" s="87" t="s">
        <v>1544</v>
      </c>
      <c r="E7" s="94" t="s">
        <v>1545</v>
      </c>
      <c r="F7" s="92">
        <v>0.15</v>
      </c>
      <c r="G7" s="93" t="s">
        <v>1546</v>
      </c>
      <c r="H7" s="97" t="s">
        <v>1547</v>
      </c>
    </row>
    <row r="8" spans="2:8" x14ac:dyDescent="0.2">
      <c r="B8" s="88">
        <v>6</v>
      </c>
      <c r="C8" s="89" t="s">
        <v>1548</v>
      </c>
      <c r="E8" s="94" t="s">
        <v>1549</v>
      </c>
      <c r="F8" s="92">
        <v>0.1</v>
      </c>
      <c r="G8" s="93" t="s">
        <v>1550</v>
      </c>
      <c r="H8" s="97" t="s">
        <v>1551</v>
      </c>
    </row>
    <row r="9" spans="2:8" x14ac:dyDescent="0.2">
      <c r="E9" s="95" t="s">
        <v>2</v>
      </c>
      <c r="F9" s="98">
        <v>0.05</v>
      </c>
      <c r="G9" s="99" t="s">
        <v>974</v>
      </c>
      <c r="H9" s="96" t="s">
        <v>1552</v>
      </c>
    </row>
    <row r="11" spans="2:8" ht="15.5" customHeight="1" x14ac:dyDescent="0.2">
      <c r="E11" s="100" t="s">
        <v>1553</v>
      </c>
      <c r="F11" s="100"/>
      <c r="G11" s="100"/>
      <c r="H11" s="100"/>
    </row>
    <row r="12" spans="2:8" x14ac:dyDescent="0.2">
      <c r="E12" s="101" t="s">
        <v>82</v>
      </c>
      <c r="F12" s="101" t="s">
        <v>341</v>
      </c>
      <c r="G12" s="101" t="s">
        <v>931</v>
      </c>
      <c r="H12" s="101" t="s">
        <v>1</v>
      </c>
    </row>
    <row r="13" spans="2:8" x14ac:dyDescent="0.2">
      <c r="E13" s="105" t="s">
        <v>1554</v>
      </c>
      <c r="F13" s="106">
        <v>0.2</v>
      </c>
      <c r="G13" s="107" t="s">
        <v>1555</v>
      </c>
      <c r="H13" s="105" t="s">
        <v>1556</v>
      </c>
    </row>
    <row r="14" spans="2:8" x14ac:dyDescent="0.2">
      <c r="E14" s="105" t="s">
        <v>1557</v>
      </c>
      <c r="F14" s="106">
        <v>0.15</v>
      </c>
      <c r="G14" s="107" t="s">
        <v>1558</v>
      </c>
      <c r="H14" s="105" t="s">
        <v>1559</v>
      </c>
    </row>
    <row r="15" spans="2:8" x14ac:dyDescent="0.2">
      <c r="E15" s="105" t="s">
        <v>1560</v>
      </c>
      <c r="F15" s="106">
        <v>0.2</v>
      </c>
      <c r="G15" s="107" t="s">
        <v>1561</v>
      </c>
      <c r="H15" s="105" t="s">
        <v>1562</v>
      </c>
    </row>
    <row r="16" spans="2:8" x14ac:dyDescent="0.2">
      <c r="E16" s="105" t="s">
        <v>1563</v>
      </c>
      <c r="F16" s="106">
        <v>0.15</v>
      </c>
      <c r="G16" s="107" t="s">
        <v>1564</v>
      </c>
      <c r="H16" s="105" t="s">
        <v>1565</v>
      </c>
    </row>
    <row r="17" spans="5:8" x14ac:dyDescent="0.2">
      <c r="E17" s="105" t="s">
        <v>1566</v>
      </c>
      <c r="F17" s="106">
        <v>0.1</v>
      </c>
      <c r="G17" s="107" t="s">
        <v>1567</v>
      </c>
      <c r="H17" s="105" t="s">
        <v>1568</v>
      </c>
    </row>
    <row r="18" spans="5:8" x14ac:dyDescent="0.2">
      <c r="E18" s="105" t="s">
        <v>1569</v>
      </c>
      <c r="F18" s="106">
        <v>0.1</v>
      </c>
      <c r="G18" s="107" t="s">
        <v>1570</v>
      </c>
      <c r="H18" s="105" t="s">
        <v>1571</v>
      </c>
    </row>
    <row r="19" spans="5:8" x14ac:dyDescent="0.2">
      <c r="E19" s="102" t="s">
        <v>2</v>
      </c>
      <c r="F19" s="103">
        <v>0.1</v>
      </c>
      <c r="G19" s="104" t="s">
        <v>949</v>
      </c>
      <c r="H19" s="102" t="s">
        <v>1572</v>
      </c>
    </row>
    <row r="21" spans="5:8" ht="15.5" customHeight="1" x14ac:dyDescent="0.2">
      <c r="E21" s="100" t="s">
        <v>1573</v>
      </c>
      <c r="F21" s="100"/>
      <c r="G21" s="100"/>
      <c r="H21" s="100"/>
    </row>
    <row r="22" spans="5:8" x14ac:dyDescent="0.2">
      <c r="E22" s="101" t="s">
        <v>82</v>
      </c>
      <c r="F22" s="101" t="s">
        <v>341</v>
      </c>
      <c r="G22" s="101" t="s">
        <v>931</v>
      </c>
      <c r="H22" s="101" t="s">
        <v>1</v>
      </c>
    </row>
    <row r="23" spans="5:8" x14ac:dyDescent="0.2">
      <c r="E23" s="105" t="s">
        <v>1574</v>
      </c>
      <c r="F23" s="106">
        <v>0.2</v>
      </c>
      <c r="G23" s="107" t="s">
        <v>1575</v>
      </c>
      <c r="H23" s="105" t="s">
        <v>1576</v>
      </c>
    </row>
    <row r="24" spans="5:8" x14ac:dyDescent="0.2">
      <c r="E24" s="105" t="s">
        <v>1577</v>
      </c>
      <c r="F24" s="106">
        <v>0.2</v>
      </c>
      <c r="G24" s="107" t="s">
        <v>1578</v>
      </c>
      <c r="H24" s="105" t="s">
        <v>1579</v>
      </c>
    </row>
    <row r="25" spans="5:8" x14ac:dyDescent="0.2">
      <c r="E25" s="105" t="s">
        <v>1580</v>
      </c>
      <c r="F25" s="106">
        <v>0.15</v>
      </c>
      <c r="G25" s="107" t="s">
        <v>1581</v>
      </c>
      <c r="H25" s="105" t="s">
        <v>1582</v>
      </c>
    </row>
    <row r="26" spans="5:8" x14ac:dyDescent="0.2">
      <c r="E26" s="105" t="s">
        <v>1583</v>
      </c>
      <c r="F26" s="106">
        <v>0.15</v>
      </c>
      <c r="G26" s="107" t="s">
        <v>1584</v>
      </c>
      <c r="H26" s="105" t="s">
        <v>1585</v>
      </c>
    </row>
    <row r="27" spans="5:8" x14ac:dyDescent="0.2">
      <c r="E27" s="105" t="s">
        <v>1586</v>
      </c>
      <c r="F27" s="106">
        <v>0.15</v>
      </c>
      <c r="G27" s="107" t="s">
        <v>1587</v>
      </c>
      <c r="H27" s="105" t="s">
        <v>1588</v>
      </c>
    </row>
    <row r="28" spans="5:8" x14ac:dyDescent="0.2">
      <c r="E28" s="105" t="s">
        <v>1589</v>
      </c>
      <c r="F28" s="106">
        <v>0.1</v>
      </c>
      <c r="G28" s="107" t="s">
        <v>1590</v>
      </c>
      <c r="H28" s="105" t="s">
        <v>1591</v>
      </c>
    </row>
    <row r="29" spans="5:8" x14ac:dyDescent="0.2">
      <c r="E29" s="102" t="s">
        <v>1592</v>
      </c>
      <c r="F29" s="103">
        <v>0.05</v>
      </c>
      <c r="G29" s="104" t="s">
        <v>1593</v>
      </c>
      <c r="H29" s="102" t="s">
        <v>1594</v>
      </c>
    </row>
    <row r="31" spans="5:8" ht="15.5" customHeight="1" x14ac:dyDescent="0.2">
      <c r="E31" s="100" t="s">
        <v>1595</v>
      </c>
      <c r="F31" s="100"/>
      <c r="G31" s="100"/>
      <c r="H31" s="100"/>
    </row>
    <row r="32" spans="5:8" x14ac:dyDescent="0.2">
      <c r="E32" s="101" t="s">
        <v>82</v>
      </c>
      <c r="F32" s="101" t="s">
        <v>341</v>
      </c>
      <c r="G32" s="101" t="s">
        <v>931</v>
      </c>
      <c r="H32" s="101" t="s">
        <v>1</v>
      </c>
    </row>
    <row r="33" spans="5:8" x14ac:dyDescent="0.2">
      <c r="E33" s="105" t="s">
        <v>1596</v>
      </c>
      <c r="F33" s="106">
        <v>0.25</v>
      </c>
      <c r="G33" s="107" t="s">
        <v>1597</v>
      </c>
      <c r="H33" s="105" t="s">
        <v>1598</v>
      </c>
    </row>
    <row r="34" spans="5:8" x14ac:dyDescent="0.2">
      <c r="E34" s="105" t="s">
        <v>1599</v>
      </c>
      <c r="F34" s="106">
        <v>0.15</v>
      </c>
      <c r="G34" s="107" t="s">
        <v>1600</v>
      </c>
      <c r="H34" s="105" t="s">
        <v>1601</v>
      </c>
    </row>
    <row r="35" spans="5:8" x14ac:dyDescent="0.2">
      <c r="E35" s="105" t="s">
        <v>1602</v>
      </c>
      <c r="F35" s="106">
        <v>0.2</v>
      </c>
      <c r="G35" s="107" t="s">
        <v>1603</v>
      </c>
      <c r="H35" s="105" t="s">
        <v>1604</v>
      </c>
    </row>
    <row r="36" spans="5:8" x14ac:dyDescent="0.2">
      <c r="E36" s="105" t="s">
        <v>1605</v>
      </c>
      <c r="F36" s="106">
        <v>0.15</v>
      </c>
      <c r="G36" s="107" t="s">
        <v>1606</v>
      </c>
      <c r="H36" s="105" t="s">
        <v>1607</v>
      </c>
    </row>
    <row r="37" spans="5:8" x14ac:dyDescent="0.2">
      <c r="E37" s="105" t="s">
        <v>937</v>
      </c>
      <c r="F37" s="106">
        <v>0.15</v>
      </c>
      <c r="G37" s="107" t="s">
        <v>1608</v>
      </c>
      <c r="H37" s="105" t="s">
        <v>1609</v>
      </c>
    </row>
    <row r="38" spans="5:8" x14ac:dyDescent="0.2">
      <c r="E38" s="102" t="s">
        <v>2</v>
      </c>
      <c r="F38" s="103">
        <v>0.1</v>
      </c>
      <c r="G38" s="104" t="s">
        <v>1011</v>
      </c>
      <c r="H38" s="102" t="s">
        <v>1610</v>
      </c>
    </row>
    <row r="40" spans="5:8" ht="15.5" customHeight="1" x14ac:dyDescent="0.2">
      <c r="E40" s="100" t="s">
        <v>1611</v>
      </c>
      <c r="F40" s="100"/>
      <c r="G40" s="100"/>
      <c r="H40" s="100"/>
    </row>
    <row r="41" spans="5:8" x14ac:dyDescent="0.2">
      <c r="E41" s="101" t="s">
        <v>82</v>
      </c>
      <c r="F41" s="101" t="s">
        <v>341</v>
      </c>
      <c r="G41" s="101" t="s">
        <v>931</v>
      </c>
      <c r="H41" s="101" t="s">
        <v>1</v>
      </c>
    </row>
    <row r="42" spans="5:8" x14ac:dyDescent="0.2">
      <c r="E42" s="105" t="s">
        <v>1612</v>
      </c>
      <c r="F42" s="106">
        <v>0.2</v>
      </c>
      <c r="G42" s="107" t="s">
        <v>1613</v>
      </c>
      <c r="H42" s="105" t="s">
        <v>1614</v>
      </c>
    </row>
    <row r="43" spans="5:8" x14ac:dyDescent="0.2">
      <c r="E43" s="105" t="s">
        <v>1615</v>
      </c>
      <c r="F43" s="106">
        <v>0.2</v>
      </c>
      <c r="G43" s="107" t="s">
        <v>1616</v>
      </c>
      <c r="H43" s="105" t="s">
        <v>1617</v>
      </c>
    </row>
    <row r="44" spans="5:8" x14ac:dyDescent="0.2">
      <c r="E44" s="105" t="s">
        <v>1618</v>
      </c>
      <c r="F44" s="106">
        <v>0.15</v>
      </c>
      <c r="G44" s="107" t="s">
        <v>1619</v>
      </c>
      <c r="H44" s="105" t="s">
        <v>1620</v>
      </c>
    </row>
    <row r="45" spans="5:8" x14ac:dyDescent="0.2">
      <c r="E45" s="105" t="s">
        <v>1621</v>
      </c>
      <c r="F45" s="106">
        <v>0.15</v>
      </c>
      <c r="G45" s="107" t="s">
        <v>1622</v>
      </c>
      <c r="H45" s="105" t="s">
        <v>1623</v>
      </c>
    </row>
    <row r="46" spans="5:8" x14ac:dyDescent="0.2">
      <c r="E46" s="105" t="s">
        <v>1624</v>
      </c>
      <c r="F46" s="106">
        <v>0.15</v>
      </c>
      <c r="G46" s="107" t="s">
        <v>1625</v>
      </c>
      <c r="H46" s="105" t="s">
        <v>1626</v>
      </c>
    </row>
    <row r="47" spans="5:8" x14ac:dyDescent="0.2">
      <c r="E47" s="105" t="s">
        <v>1627</v>
      </c>
      <c r="F47" s="106">
        <v>0.1</v>
      </c>
      <c r="G47" s="107" t="s">
        <v>1628</v>
      </c>
      <c r="H47" s="105" t="s">
        <v>1629</v>
      </c>
    </row>
    <row r="48" spans="5:8" x14ac:dyDescent="0.2">
      <c r="E48" s="102" t="s">
        <v>2</v>
      </c>
      <c r="F48" s="103">
        <v>0.05</v>
      </c>
      <c r="G48" s="104" t="s">
        <v>1011</v>
      </c>
      <c r="H48" s="102" t="s">
        <v>1630</v>
      </c>
    </row>
    <row r="50" spans="5:8" ht="15.5" customHeight="1" x14ac:dyDescent="0.2">
      <c r="E50" s="100" t="s">
        <v>1631</v>
      </c>
      <c r="F50" s="100"/>
      <c r="G50" s="100"/>
      <c r="H50" s="100"/>
    </row>
    <row r="51" spans="5:8" x14ac:dyDescent="0.2">
      <c r="E51" s="101" t="s">
        <v>82</v>
      </c>
      <c r="F51" s="101" t="s">
        <v>341</v>
      </c>
      <c r="G51" s="101" t="s">
        <v>931</v>
      </c>
      <c r="H51" s="101" t="s">
        <v>1</v>
      </c>
    </row>
    <row r="52" spans="5:8" x14ac:dyDescent="0.2">
      <c r="E52" s="105" t="s">
        <v>1632</v>
      </c>
      <c r="F52" s="106">
        <v>0.25</v>
      </c>
      <c r="G52" s="107" t="s">
        <v>1633</v>
      </c>
      <c r="H52" s="105" t="s">
        <v>1634</v>
      </c>
    </row>
    <row r="53" spans="5:8" x14ac:dyDescent="0.2">
      <c r="E53" s="105" t="s">
        <v>1635</v>
      </c>
      <c r="F53" s="106">
        <v>0.2</v>
      </c>
      <c r="G53" s="107" t="s">
        <v>1636</v>
      </c>
      <c r="H53" s="105" t="s">
        <v>1637</v>
      </c>
    </row>
    <row r="54" spans="5:8" x14ac:dyDescent="0.2">
      <c r="E54" s="105" t="s">
        <v>937</v>
      </c>
      <c r="F54" s="106">
        <v>0.2</v>
      </c>
      <c r="G54" s="107" t="s">
        <v>1638</v>
      </c>
      <c r="H54" s="105" t="s">
        <v>1639</v>
      </c>
    </row>
    <row r="55" spans="5:8" x14ac:dyDescent="0.2">
      <c r="E55" s="105" t="s">
        <v>308</v>
      </c>
      <c r="F55" s="106">
        <v>0.15</v>
      </c>
      <c r="G55" s="107" t="s">
        <v>1640</v>
      </c>
      <c r="H55" s="105" t="s">
        <v>1641</v>
      </c>
    </row>
    <row r="56" spans="5:8" x14ac:dyDescent="0.2">
      <c r="E56" s="105" t="s">
        <v>1642</v>
      </c>
      <c r="F56" s="106">
        <v>0.1</v>
      </c>
      <c r="G56" s="107" t="s">
        <v>1643</v>
      </c>
      <c r="H56" s="105" t="s">
        <v>1644</v>
      </c>
    </row>
    <row r="57" spans="5:8" x14ac:dyDescent="0.2">
      <c r="E57" s="102" t="s">
        <v>2</v>
      </c>
      <c r="F57" s="103">
        <v>0.1</v>
      </c>
      <c r="G57" s="104" t="s">
        <v>982</v>
      </c>
      <c r="H57" s="102" t="s">
        <v>1645</v>
      </c>
    </row>
    <row r="59" spans="5:8" ht="15.5" customHeight="1" x14ac:dyDescent="0.2">
      <c r="E59" s="100" t="s">
        <v>1646</v>
      </c>
      <c r="F59" s="100"/>
      <c r="G59" s="100"/>
      <c r="H59" s="100"/>
    </row>
    <row r="60" spans="5:8" x14ac:dyDescent="0.2">
      <c r="E60" s="101" t="s">
        <v>82</v>
      </c>
      <c r="F60" s="101" t="s">
        <v>341</v>
      </c>
      <c r="G60" s="101" t="s">
        <v>931</v>
      </c>
      <c r="H60" s="101" t="s">
        <v>1</v>
      </c>
    </row>
    <row r="61" spans="5:8" x14ac:dyDescent="0.2">
      <c r="E61" s="105" t="s">
        <v>933</v>
      </c>
      <c r="F61" s="106">
        <v>0.2</v>
      </c>
      <c r="G61" s="107" t="s">
        <v>1647</v>
      </c>
      <c r="H61" s="105" t="s">
        <v>1648</v>
      </c>
    </row>
    <row r="62" spans="5:8" x14ac:dyDescent="0.2">
      <c r="E62" s="105" t="s">
        <v>1649</v>
      </c>
      <c r="F62" s="106">
        <v>0.2</v>
      </c>
      <c r="G62" s="107" t="s">
        <v>1650</v>
      </c>
      <c r="H62" s="105" t="s">
        <v>1651</v>
      </c>
    </row>
    <row r="63" spans="5:8" x14ac:dyDescent="0.2">
      <c r="E63" s="105" t="s">
        <v>1652</v>
      </c>
      <c r="F63" s="106">
        <v>0.15</v>
      </c>
      <c r="G63" s="107" t="s">
        <v>1653</v>
      </c>
      <c r="H63" s="105" t="s">
        <v>1654</v>
      </c>
    </row>
    <row r="64" spans="5:8" x14ac:dyDescent="0.2">
      <c r="E64" s="105" t="s">
        <v>1655</v>
      </c>
      <c r="F64" s="106">
        <v>0.15</v>
      </c>
      <c r="G64" s="107" t="s">
        <v>1656</v>
      </c>
      <c r="H64" s="105" t="s">
        <v>1657</v>
      </c>
    </row>
    <row r="65" spans="5:8" x14ac:dyDescent="0.2">
      <c r="E65" s="105" t="s">
        <v>1029</v>
      </c>
      <c r="F65" s="106">
        <v>0.15</v>
      </c>
      <c r="G65" s="107" t="s">
        <v>1658</v>
      </c>
      <c r="H65" s="105" t="s">
        <v>1659</v>
      </c>
    </row>
    <row r="66" spans="5:8" x14ac:dyDescent="0.2">
      <c r="E66" s="105" t="s">
        <v>1660</v>
      </c>
      <c r="F66" s="106">
        <v>0.1</v>
      </c>
      <c r="G66" s="107" t="s">
        <v>1661</v>
      </c>
      <c r="H66" s="105" t="s">
        <v>1662</v>
      </c>
    </row>
    <row r="67" spans="5:8" x14ac:dyDescent="0.2">
      <c r="E67" s="102" t="s">
        <v>937</v>
      </c>
      <c r="F67" s="103">
        <v>0.05</v>
      </c>
      <c r="G67" s="104" t="s">
        <v>1663</v>
      </c>
      <c r="H67" s="102" t="s">
        <v>1664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H68"/>
  <sheetViews>
    <sheetView zoomScale="71" workbookViewId="0">
      <selection activeCell="E2" sqref="E2:H2"/>
    </sheetView>
  </sheetViews>
  <sheetFormatPr baseColWidth="10" defaultColWidth="8.83203125" defaultRowHeight="15" x14ac:dyDescent="0.2"/>
  <cols>
    <col min="1" max="1" width="2.6640625" customWidth="1"/>
    <col min="2" max="2" width="5.5" customWidth="1"/>
    <col min="3" max="3" width="36.33203125" customWidth="1"/>
    <col min="4" max="4" width="2.6640625" customWidth="1"/>
    <col min="5" max="5" width="36.33203125" customWidth="1"/>
    <col min="6" max="6" width="9.1640625" customWidth="1"/>
    <col min="7" max="7" width="36.33203125" customWidth="1"/>
    <col min="8" max="8" width="90.83203125" customWidth="1"/>
  </cols>
  <sheetData>
    <row r="2" spans="2:8" ht="17" customHeight="1" x14ac:dyDescent="0.2">
      <c r="B2" s="84" t="s">
        <v>81</v>
      </c>
      <c r="C2" s="85" t="s">
        <v>1665</v>
      </c>
      <c r="E2" s="90" t="s">
        <v>930</v>
      </c>
      <c r="F2" s="90" t="s">
        <v>341</v>
      </c>
      <c r="G2" s="90" t="s">
        <v>931</v>
      </c>
      <c r="H2" s="91" t="s">
        <v>1091</v>
      </c>
    </row>
    <row r="3" spans="2:8" x14ac:dyDescent="0.2">
      <c r="B3" s="86">
        <v>1</v>
      </c>
      <c r="C3" s="87" t="s">
        <v>1666</v>
      </c>
      <c r="E3" s="94" t="s">
        <v>1667</v>
      </c>
      <c r="F3" s="108">
        <v>0.25</v>
      </c>
      <c r="G3" s="109" t="s">
        <v>1668</v>
      </c>
      <c r="H3" s="97" t="s">
        <v>1669</v>
      </c>
    </row>
    <row r="4" spans="2:8" x14ac:dyDescent="0.2">
      <c r="B4" s="86">
        <v>2</v>
      </c>
      <c r="C4" s="87" t="s">
        <v>1670</v>
      </c>
      <c r="E4" s="86" t="s">
        <v>1671</v>
      </c>
      <c r="F4" s="108">
        <v>0.2</v>
      </c>
      <c r="G4" s="109" t="s">
        <v>1672</v>
      </c>
      <c r="H4" s="87" t="s">
        <v>1673</v>
      </c>
    </row>
    <row r="5" spans="2:8" x14ac:dyDescent="0.2">
      <c r="B5" s="86">
        <v>3</v>
      </c>
      <c r="C5" s="87" t="s">
        <v>1674</v>
      </c>
      <c r="E5" s="86" t="s">
        <v>1675</v>
      </c>
      <c r="F5" s="108">
        <v>0.15</v>
      </c>
      <c r="G5" s="109" t="s">
        <v>1676</v>
      </c>
      <c r="H5" s="87" t="s">
        <v>1677</v>
      </c>
    </row>
    <row r="6" spans="2:8" x14ac:dyDescent="0.2">
      <c r="B6" s="86">
        <v>4</v>
      </c>
      <c r="C6" s="87" t="s">
        <v>1678</v>
      </c>
      <c r="E6" s="86" t="s">
        <v>1679</v>
      </c>
      <c r="F6" s="108">
        <v>0.15</v>
      </c>
      <c r="G6" s="109" t="s">
        <v>1680</v>
      </c>
      <c r="H6" s="87" t="s">
        <v>1681</v>
      </c>
    </row>
    <row r="7" spans="2:8" x14ac:dyDescent="0.2">
      <c r="B7" s="86">
        <v>5</v>
      </c>
      <c r="C7" s="87" t="s">
        <v>1682</v>
      </c>
      <c r="E7" s="86" t="s">
        <v>937</v>
      </c>
      <c r="F7" s="108">
        <v>0.15</v>
      </c>
      <c r="G7" s="109" t="s">
        <v>1683</v>
      </c>
      <c r="H7" s="87" t="s">
        <v>1684</v>
      </c>
    </row>
    <row r="8" spans="2:8" x14ac:dyDescent="0.2">
      <c r="B8" s="88">
        <v>6</v>
      </c>
      <c r="C8" s="89" t="s">
        <v>1685</v>
      </c>
      <c r="E8" s="88" t="s">
        <v>2</v>
      </c>
      <c r="F8" s="110">
        <v>0.1</v>
      </c>
      <c r="G8" s="111" t="s">
        <v>1686</v>
      </c>
      <c r="H8" s="89" t="s">
        <v>1687</v>
      </c>
    </row>
    <row r="10" spans="2:8" ht="15.5" customHeight="1" x14ac:dyDescent="0.2">
      <c r="E10" s="100" t="s">
        <v>1688</v>
      </c>
      <c r="F10" s="100"/>
      <c r="G10" s="100"/>
      <c r="H10" s="100"/>
    </row>
    <row r="11" spans="2:8" x14ac:dyDescent="0.2">
      <c r="E11" s="101" t="s">
        <v>82</v>
      </c>
      <c r="F11" s="101" t="s">
        <v>341</v>
      </c>
      <c r="G11" s="101" t="s">
        <v>931</v>
      </c>
      <c r="H11" s="101" t="s">
        <v>1</v>
      </c>
    </row>
    <row r="12" spans="2:8" x14ac:dyDescent="0.2">
      <c r="E12" s="105" t="s">
        <v>1689</v>
      </c>
      <c r="F12" s="106">
        <v>0.25</v>
      </c>
      <c r="G12" s="107" t="s">
        <v>1690</v>
      </c>
      <c r="H12" s="105" t="s">
        <v>1691</v>
      </c>
    </row>
    <row r="13" spans="2:8" x14ac:dyDescent="0.2">
      <c r="E13" s="105" t="s">
        <v>1692</v>
      </c>
      <c r="F13" s="106">
        <v>0.15</v>
      </c>
      <c r="G13" s="107" t="s">
        <v>1693</v>
      </c>
      <c r="H13" s="105" t="s">
        <v>1694</v>
      </c>
    </row>
    <row r="14" spans="2:8" x14ac:dyDescent="0.2">
      <c r="E14" s="105" t="s">
        <v>1695</v>
      </c>
      <c r="F14" s="106">
        <v>0.15</v>
      </c>
      <c r="G14" s="107" t="s">
        <v>1696</v>
      </c>
      <c r="H14" s="105" t="s">
        <v>1697</v>
      </c>
    </row>
    <row r="15" spans="2:8" x14ac:dyDescent="0.2">
      <c r="E15" s="105" t="s">
        <v>1698</v>
      </c>
      <c r="F15" s="106">
        <v>0.15</v>
      </c>
      <c r="G15" s="107" t="s">
        <v>1699</v>
      </c>
      <c r="H15" s="105" t="s">
        <v>1700</v>
      </c>
    </row>
    <row r="16" spans="2:8" x14ac:dyDescent="0.2">
      <c r="E16" s="105" t="s">
        <v>1701</v>
      </c>
      <c r="F16" s="106">
        <v>0.1</v>
      </c>
      <c r="G16" s="107" t="s">
        <v>1702</v>
      </c>
      <c r="H16" s="105" t="s">
        <v>1703</v>
      </c>
    </row>
    <row r="17" spans="5:8" x14ac:dyDescent="0.2">
      <c r="E17" s="105" t="s">
        <v>1704</v>
      </c>
      <c r="F17" s="106">
        <v>0.1</v>
      </c>
      <c r="G17" s="107" t="s">
        <v>1705</v>
      </c>
      <c r="H17" s="105" t="s">
        <v>1706</v>
      </c>
    </row>
    <row r="18" spans="5:8" x14ac:dyDescent="0.2">
      <c r="E18" s="102" t="s">
        <v>2</v>
      </c>
      <c r="F18" s="103">
        <v>0.1</v>
      </c>
      <c r="G18" s="104" t="s">
        <v>1707</v>
      </c>
      <c r="H18" s="102" t="s">
        <v>1708</v>
      </c>
    </row>
    <row r="20" spans="5:8" ht="15.5" customHeight="1" x14ac:dyDescent="0.2">
      <c r="E20" s="100" t="s">
        <v>1709</v>
      </c>
      <c r="F20" s="100"/>
      <c r="G20" s="100"/>
      <c r="H20" s="100"/>
    </row>
    <row r="21" spans="5:8" x14ac:dyDescent="0.2">
      <c r="E21" s="101" t="s">
        <v>82</v>
      </c>
      <c r="F21" s="101" t="s">
        <v>341</v>
      </c>
      <c r="G21" s="101" t="s">
        <v>931</v>
      </c>
      <c r="H21" s="101" t="s">
        <v>1</v>
      </c>
    </row>
    <row r="22" spans="5:8" x14ac:dyDescent="0.2">
      <c r="E22" s="105" t="s">
        <v>1710</v>
      </c>
      <c r="F22" s="106">
        <v>0.2</v>
      </c>
      <c r="G22" s="107" t="s">
        <v>1711</v>
      </c>
      <c r="H22" s="105" t="s">
        <v>1712</v>
      </c>
    </row>
    <row r="23" spans="5:8" x14ac:dyDescent="0.2">
      <c r="E23" s="105" t="s">
        <v>1713</v>
      </c>
      <c r="F23" s="106">
        <v>0.2</v>
      </c>
      <c r="G23" s="107" t="s">
        <v>1714</v>
      </c>
      <c r="H23" s="105" t="s">
        <v>1715</v>
      </c>
    </row>
    <row r="24" spans="5:8" x14ac:dyDescent="0.2">
      <c r="E24" s="105" t="s">
        <v>1716</v>
      </c>
      <c r="F24" s="106">
        <v>0.15</v>
      </c>
      <c r="G24" s="107" t="s">
        <v>1717</v>
      </c>
      <c r="H24" s="105" t="s">
        <v>1718</v>
      </c>
    </row>
    <row r="25" spans="5:8" x14ac:dyDescent="0.2">
      <c r="E25" s="105" t="s">
        <v>1719</v>
      </c>
      <c r="F25" s="106">
        <v>0.15</v>
      </c>
      <c r="G25" s="107" t="s">
        <v>1720</v>
      </c>
      <c r="H25" s="105" t="s">
        <v>1721</v>
      </c>
    </row>
    <row r="26" spans="5:8" x14ac:dyDescent="0.2">
      <c r="E26" s="105" t="s">
        <v>1722</v>
      </c>
      <c r="F26" s="106">
        <v>0.15</v>
      </c>
      <c r="G26" s="107" t="s">
        <v>1723</v>
      </c>
      <c r="H26" s="105" t="s">
        <v>1724</v>
      </c>
    </row>
    <row r="27" spans="5:8" x14ac:dyDescent="0.2">
      <c r="E27" s="105" t="s">
        <v>1725</v>
      </c>
      <c r="F27" s="106">
        <v>0.1</v>
      </c>
      <c r="G27" s="107" t="s">
        <v>1726</v>
      </c>
      <c r="H27" s="105" t="s">
        <v>1727</v>
      </c>
    </row>
    <row r="28" spans="5:8" x14ac:dyDescent="0.2">
      <c r="E28" s="102" t="s">
        <v>2</v>
      </c>
      <c r="F28" s="103">
        <v>0.05</v>
      </c>
      <c r="G28" s="104" t="s">
        <v>1728</v>
      </c>
      <c r="H28" s="102" t="s">
        <v>1729</v>
      </c>
    </row>
    <row r="30" spans="5:8" ht="15.5" customHeight="1" x14ac:dyDescent="0.2">
      <c r="E30" s="100" t="s">
        <v>1730</v>
      </c>
      <c r="F30" s="100"/>
      <c r="G30" s="100"/>
      <c r="H30" s="100"/>
    </row>
    <row r="31" spans="5:8" x14ac:dyDescent="0.2">
      <c r="E31" s="101" t="s">
        <v>82</v>
      </c>
      <c r="F31" s="101" t="s">
        <v>341</v>
      </c>
      <c r="G31" s="101" t="s">
        <v>931</v>
      </c>
      <c r="H31" s="101" t="s">
        <v>1</v>
      </c>
    </row>
    <row r="32" spans="5:8" x14ac:dyDescent="0.2">
      <c r="E32" s="105" t="s">
        <v>1731</v>
      </c>
      <c r="F32" s="106">
        <v>0.2</v>
      </c>
      <c r="G32" s="107" t="s">
        <v>1732</v>
      </c>
      <c r="H32" s="105" t="s">
        <v>1733</v>
      </c>
    </row>
    <row r="33" spans="5:8" x14ac:dyDescent="0.2">
      <c r="E33" s="105" t="s">
        <v>1734</v>
      </c>
      <c r="F33" s="106">
        <v>0.2</v>
      </c>
      <c r="G33" s="107" t="s">
        <v>1735</v>
      </c>
      <c r="H33" s="105" t="s">
        <v>1736</v>
      </c>
    </row>
    <row r="34" spans="5:8" x14ac:dyDescent="0.2">
      <c r="E34" s="105" t="s">
        <v>1737</v>
      </c>
      <c r="F34" s="106">
        <v>0.15</v>
      </c>
      <c r="G34" s="107" t="s">
        <v>1738</v>
      </c>
      <c r="H34" s="105" t="s">
        <v>1739</v>
      </c>
    </row>
    <row r="35" spans="5:8" x14ac:dyDescent="0.2">
      <c r="E35" s="105" t="s">
        <v>1740</v>
      </c>
      <c r="F35" s="106">
        <v>0.15</v>
      </c>
      <c r="G35" s="107" t="s">
        <v>1741</v>
      </c>
      <c r="H35" s="105" t="s">
        <v>1742</v>
      </c>
    </row>
    <row r="36" spans="5:8" x14ac:dyDescent="0.2">
      <c r="E36" s="105" t="s">
        <v>1743</v>
      </c>
      <c r="F36" s="106">
        <v>0.15</v>
      </c>
      <c r="G36" s="107" t="s">
        <v>1744</v>
      </c>
      <c r="H36" s="105" t="s">
        <v>1745</v>
      </c>
    </row>
    <row r="37" spans="5:8" x14ac:dyDescent="0.2">
      <c r="E37" s="105" t="s">
        <v>173</v>
      </c>
      <c r="F37" s="106">
        <v>0.1</v>
      </c>
      <c r="G37" s="107" t="s">
        <v>1746</v>
      </c>
      <c r="H37" s="105" t="s">
        <v>1747</v>
      </c>
    </row>
    <row r="38" spans="5:8" x14ac:dyDescent="0.2">
      <c r="E38" s="102" t="s">
        <v>2</v>
      </c>
      <c r="F38" s="103">
        <v>0.05</v>
      </c>
      <c r="G38" s="104" t="s">
        <v>1748</v>
      </c>
      <c r="H38" s="102" t="s">
        <v>1749</v>
      </c>
    </row>
    <row r="40" spans="5:8" ht="15.5" customHeight="1" x14ac:dyDescent="0.2">
      <c r="E40" s="100" t="s">
        <v>1750</v>
      </c>
      <c r="F40" s="100"/>
      <c r="G40" s="100"/>
      <c r="H40" s="100"/>
    </row>
    <row r="41" spans="5:8" x14ac:dyDescent="0.2">
      <c r="E41" s="101" t="s">
        <v>82</v>
      </c>
      <c r="F41" s="101" t="s">
        <v>341</v>
      </c>
      <c r="G41" s="101" t="s">
        <v>931</v>
      </c>
      <c r="H41" s="101" t="s">
        <v>1</v>
      </c>
    </row>
    <row r="42" spans="5:8" x14ac:dyDescent="0.2">
      <c r="E42" s="105" t="s">
        <v>1751</v>
      </c>
      <c r="F42" s="106">
        <v>0.2</v>
      </c>
      <c r="G42" s="107" t="s">
        <v>1752</v>
      </c>
      <c r="H42" s="105" t="s">
        <v>1753</v>
      </c>
    </row>
    <row r="43" spans="5:8" x14ac:dyDescent="0.2">
      <c r="E43" s="105" t="s">
        <v>1710</v>
      </c>
      <c r="F43" s="106">
        <v>0.2</v>
      </c>
      <c r="G43" s="107" t="s">
        <v>1754</v>
      </c>
      <c r="H43" s="105" t="s">
        <v>1755</v>
      </c>
    </row>
    <row r="44" spans="5:8" x14ac:dyDescent="0.2">
      <c r="E44" s="105" t="s">
        <v>1756</v>
      </c>
      <c r="F44" s="106">
        <v>0.15</v>
      </c>
      <c r="G44" s="107" t="s">
        <v>1757</v>
      </c>
      <c r="H44" s="105" t="s">
        <v>1758</v>
      </c>
    </row>
    <row r="45" spans="5:8" x14ac:dyDescent="0.2">
      <c r="E45" s="105" t="s">
        <v>1759</v>
      </c>
      <c r="F45" s="106">
        <v>0.15</v>
      </c>
      <c r="G45" s="107" t="s">
        <v>1760</v>
      </c>
      <c r="H45" s="105" t="s">
        <v>1761</v>
      </c>
    </row>
    <row r="46" spans="5:8" x14ac:dyDescent="0.2">
      <c r="E46" s="105" t="s">
        <v>1762</v>
      </c>
      <c r="F46" s="106">
        <v>0.1</v>
      </c>
      <c r="G46" s="107" t="s">
        <v>1763</v>
      </c>
      <c r="H46" s="105" t="s">
        <v>1764</v>
      </c>
    </row>
    <row r="47" spans="5:8" x14ac:dyDescent="0.2">
      <c r="E47" s="105" t="s">
        <v>1765</v>
      </c>
      <c r="F47" s="106">
        <v>0.1</v>
      </c>
      <c r="G47" s="107" t="s">
        <v>1766</v>
      </c>
      <c r="H47" s="105" t="s">
        <v>1767</v>
      </c>
    </row>
    <row r="48" spans="5:8" x14ac:dyDescent="0.2">
      <c r="E48" s="102" t="s">
        <v>1768</v>
      </c>
      <c r="F48" s="103">
        <v>0.1</v>
      </c>
      <c r="G48" s="104" t="s">
        <v>1769</v>
      </c>
      <c r="H48" s="102" t="s">
        <v>1770</v>
      </c>
    </row>
    <row r="50" spans="5:8" ht="15.5" customHeight="1" x14ac:dyDescent="0.2">
      <c r="E50" s="100" t="s">
        <v>1771</v>
      </c>
      <c r="F50" s="100"/>
      <c r="G50" s="100"/>
      <c r="H50" s="100"/>
    </row>
    <row r="51" spans="5:8" x14ac:dyDescent="0.2">
      <c r="E51" s="101" t="s">
        <v>82</v>
      </c>
      <c r="F51" s="101" t="s">
        <v>341</v>
      </c>
      <c r="G51" s="101" t="s">
        <v>931</v>
      </c>
      <c r="H51" s="101" t="s">
        <v>1</v>
      </c>
    </row>
    <row r="52" spans="5:8" x14ac:dyDescent="0.2">
      <c r="E52" s="105" t="s">
        <v>1722</v>
      </c>
      <c r="F52" s="106">
        <v>0.25</v>
      </c>
      <c r="G52" s="107" t="s">
        <v>1772</v>
      </c>
      <c r="H52" s="105" t="s">
        <v>1773</v>
      </c>
    </row>
    <row r="53" spans="5:8" x14ac:dyDescent="0.2">
      <c r="E53" s="105" t="s">
        <v>1710</v>
      </c>
      <c r="F53" s="106">
        <v>0.2</v>
      </c>
      <c r="G53" s="107" t="s">
        <v>1774</v>
      </c>
      <c r="H53" s="105" t="s">
        <v>1775</v>
      </c>
    </row>
    <row r="54" spans="5:8" x14ac:dyDescent="0.2">
      <c r="E54" s="105" t="s">
        <v>1776</v>
      </c>
      <c r="F54" s="106">
        <v>0.15</v>
      </c>
      <c r="G54" s="107" t="s">
        <v>1777</v>
      </c>
      <c r="H54" s="105" t="s">
        <v>1778</v>
      </c>
    </row>
    <row r="55" spans="5:8" x14ac:dyDescent="0.2">
      <c r="E55" s="105" t="s">
        <v>1779</v>
      </c>
      <c r="F55" s="106">
        <v>0.15</v>
      </c>
      <c r="G55" s="107" t="s">
        <v>1780</v>
      </c>
      <c r="H55" s="105" t="s">
        <v>1781</v>
      </c>
    </row>
    <row r="56" spans="5:8" x14ac:dyDescent="0.2">
      <c r="E56" s="105" t="s">
        <v>1782</v>
      </c>
      <c r="F56" s="106">
        <v>0.1</v>
      </c>
      <c r="G56" s="107" t="s">
        <v>1783</v>
      </c>
      <c r="H56" s="105" t="s">
        <v>1784</v>
      </c>
    </row>
    <row r="57" spans="5:8" x14ac:dyDescent="0.2">
      <c r="E57" s="105" t="s">
        <v>1785</v>
      </c>
      <c r="F57" s="106">
        <v>0.1</v>
      </c>
      <c r="G57" s="107" t="s">
        <v>1786</v>
      </c>
      <c r="H57" s="105" t="s">
        <v>1787</v>
      </c>
    </row>
    <row r="58" spans="5:8" x14ac:dyDescent="0.2">
      <c r="E58" s="102" t="s">
        <v>2</v>
      </c>
      <c r="F58" s="103">
        <v>0.05</v>
      </c>
      <c r="G58" s="104" t="s">
        <v>1788</v>
      </c>
      <c r="H58" s="102" t="s">
        <v>1789</v>
      </c>
    </row>
    <row r="60" spans="5:8" ht="15.5" customHeight="1" x14ac:dyDescent="0.2">
      <c r="E60" s="100" t="s">
        <v>1790</v>
      </c>
      <c r="F60" s="100"/>
      <c r="G60" s="100"/>
      <c r="H60" s="100"/>
    </row>
    <row r="61" spans="5:8" x14ac:dyDescent="0.2">
      <c r="E61" s="101" t="s">
        <v>82</v>
      </c>
      <c r="F61" s="101" t="s">
        <v>341</v>
      </c>
      <c r="G61" s="101" t="s">
        <v>931</v>
      </c>
      <c r="H61" s="101" t="s">
        <v>1</v>
      </c>
    </row>
    <row r="62" spans="5:8" x14ac:dyDescent="0.2">
      <c r="E62" s="105" t="s">
        <v>933</v>
      </c>
      <c r="F62" s="106">
        <v>0.2</v>
      </c>
      <c r="G62" s="107" t="s">
        <v>1791</v>
      </c>
      <c r="H62" s="105" t="s">
        <v>1792</v>
      </c>
    </row>
    <row r="63" spans="5:8" x14ac:dyDescent="0.2">
      <c r="E63" s="105" t="s">
        <v>1793</v>
      </c>
      <c r="F63" s="106">
        <v>0.2</v>
      </c>
      <c r="G63" s="107" t="s">
        <v>1794</v>
      </c>
      <c r="H63" s="105" t="s">
        <v>1795</v>
      </c>
    </row>
    <row r="64" spans="5:8" x14ac:dyDescent="0.2">
      <c r="E64" s="105" t="s">
        <v>937</v>
      </c>
      <c r="F64" s="106">
        <v>0.15</v>
      </c>
      <c r="G64" s="107" t="s">
        <v>1796</v>
      </c>
      <c r="H64" s="105" t="s">
        <v>1797</v>
      </c>
    </row>
    <row r="65" spans="5:8" x14ac:dyDescent="0.2">
      <c r="E65" s="105" t="s">
        <v>1798</v>
      </c>
      <c r="F65" s="106">
        <v>0.15</v>
      </c>
      <c r="G65" s="107" t="s">
        <v>1799</v>
      </c>
      <c r="H65" s="105" t="s">
        <v>1800</v>
      </c>
    </row>
    <row r="66" spans="5:8" x14ac:dyDescent="0.2">
      <c r="E66" s="105" t="s">
        <v>1801</v>
      </c>
      <c r="F66" s="106">
        <v>0.15</v>
      </c>
      <c r="G66" s="107" t="s">
        <v>1802</v>
      </c>
      <c r="H66" s="105" t="s">
        <v>1803</v>
      </c>
    </row>
    <row r="67" spans="5:8" x14ac:dyDescent="0.2">
      <c r="E67" s="105" t="s">
        <v>1354</v>
      </c>
      <c r="F67" s="106">
        <v>0.1</v>
      </c>
      <c r="G67" s="107" t="s">
        <v>1804</v>
      </c>
      <c r="H67" s="105" t="s">
        <v>1805</v>
      </c>
    </row>
    <row r="68" spans="5:8" x14ac:dyDescent="0.2">
      <c r="E68" s="102" t="s">
        <v>1806</v>
      </c>
      <c r="F68" s="103">
        <v>0.05</v>
      </c>
      <c r="G68" s="104" t="s">
        <v>1807</v>
      </c>
      <c r="H68" s="102" t="s">
        <v>1808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35"/>
  <sheetViews>
    <sheetView zoomScale="91" workbookViewId="0">
      <selection activeCell="C13" sqref="C13"/>
    </sheetView>
  </sheetViews>
  <sheetFormatPr baseColWidth="10" defaultColWidth="8.83203125" defaultRowHeight="15" x14ac:dyDescent="0.2"/>
  <cols>
    <col min="1" max="1" width="2.6640625" customWidth="1"/>
    <col min="2" max="2" width="5.5" customWidth="1"/>
    <col min="3" max="3" width="30.83203125" bestFit="1" customWidth="1"/>
    <col min="4" max="4" width="2.6640625" customWidth="1"/>
    <col min="5" max="5" width="32.6640625" customWidth="1"/>
    <col min="6" max="6" width="10" customWidth="1"/>
    <col min="7" max="7" width="23.6640625" customWidth="1"/>
    <col min="8" max="8" width="205.1640625" bestFit="1" customWidth="1"/>
  </cols>
  <sheetData>
    <row r="2" spans="2:8" ht="15.5" customHeight="1" x14ac:dyDescent="0.2">
      <c r="B2" s="1" t="s">
        <v>81</v>
      </c>
      <c r="C2" s="136" t="s">
        <v>1809</v>
      </c>
      <c r="E2" s="12" t="s">
        <v>930</v>
      </c>
      <c r="F2" s="12" t="s">
        <v>341</v>
      </c>
      <c r="G2" s="12" t="s">
        <v>931</v>
      </c>
      <c r="H2" s="12" t="s">
        <v>1</v>
      </c>
    </row>
    <row r="3" spans="2:8" x14ac:dyDescent="0.2">
      <c r="B3" s="1">
        <v>1</v>
      </c>
      <c r="C3" s="1" t="s">
        <v>1810</v>
      </c>
      <c r="E3" s="1" t="s">
        <v>933</v>
      </c>
      <c r="F3" s="16">
        <v>0.2</v>
      </c>
      <c r="G3" s="1" t="s">
        <v>1078</v>
      </c>
      <c r="H3" s="1" t="s">
        <v>1811</v>
      </c>
    </row>
    <row r="4" spans="2:8" x14ac:dyDescent="0.2">
      <c r="B4" s="1">
        <v>2</v>
      </c>
      <c r="C4" s="1" t="s">
        <v>1812</v>
      </c>
      <c r="E4" s="1" t="s">
        <v>1458</v>
      </c>
      <c r="F4" s="16">
        <v>0.2</v>
      </c>
      <c r="G4" s="1" t="s">
        <v>1200</v>
      </c>
      <c r="H4" s="1" t="s">
        <v>1813</v>
      </c>
    </row>
    <row r="5" spans="2:8" x14ac:dyDescent="0.2">
      <c r="B5" s="1">
        <v>3</v>
      </c>
      <c r="C5" s="1" t="s">
        <v>1814</v>
      </c>
      <c r="E5" s="1" t="s">
        <v>937</v>
      </c>
      <c r="F5" s="16">
        <v>0.15</v>
      </c>
      <c r="G5" s="1" t="s">
        <v>1815</v>
      </c>
      <c r="H5" s="1" t="s">
        <v>1816</v>
      </c>
    </row>
    <row r="6" spans="2:8" x14ac:dyDescent="0.2">
      <c r="E6" s="1" t="s">
        <v>1817</v>
      </c>
      <c r="F6" s="16">
        <v>0.15</v>
      </c>
      <c r="G6" s="1" t="s">
        <v>1818</v>
      </c>
      <c r="H6" s="1" t="s">
        <v>1819</v>
      </c>
    </row>
    <row r="7" spans="2:8" x14ac:dyDescent="0.2">
      <c r="E7" s="1" t="s">
        <v>1820</v>
      </c>
      <c r="F7" s="16">
        <v>0.15</v>
      </c>
      <c r="G7" s="1" t="s">
        <v>1821</v>
      </c>
      <c r="H7" s="1" t="s">
        <v>1822</v>
      </c>
    </row>
    <row r="8" spans="2:8" x14ac:dyDescent="0.2">
      <c r="E8" s="1" t="s">
        <v>2</v>
      </c>
      <c r="F8" s="16">
        <v>0.15</v>
      </c>
      <c r="G8" s="1" t="s">
        <v>1823</v>
      </c>
      <c r="H8" s="1" t="s">
        <v>1824</v>
      </c>
    </row>
    <row r="10" spans="2:8" ht="15.5" customHeight="1" x14ac:dyDescent="0.2">
      <c r="E10" s="17" t="s">
        <v>1825</v>
      </c>
      <c r="F10" s="15"/>
      <c r="G10" s="15"/>
      <c r="H10" s="15"/>
    </row>
    <row r="11" spans="2:8" x14ac:dyDescent="0.2">
      <c r="E11" s="12" t="s">
        <v>82</v>
      </c>
      <c r="F11" s="12" t="s">
        <v>341</v>
      </c>
      <c r="G11" s="12" t="s">
        <v>931</v>
      </c>
      <c r="H11" s="12" t="s">
        <v>1</v>
      </c>
    </row>
    <row r="12" spans="2:8" x14ac:dyDescent="0.2">
      <c r="E12" s="1" t="s">
        <v>1826</v>
      </c>
      <c r="F12" s="16">
        <v>0.25</v>
      </c>
      <c r="G12" s="1" t="s">
        <v>1827</v>
      </c>
      <c r="H12" s="1" t="s">
        <v>1828</v>
      </c>
    </row>
    <row r="13" spans="2:8" x14ac:dyDescent="0.2">
      <c r="E13" s="1" t="s">
        <v>1710</v>
      </c>
      <c r="F13" s="16">
        <v>0.2</v>
      </c>
      <c r="G13" s="1" t="s">
        <v>1829</v>
      </c>
      <c r="H13" s="1" t="s">
        <v>1830</v>
      </c>
    </row>
    <row r="14" spans="2:8" x14ac:dyDescent="0.2">
      <c r="E14" s="1" t="s">
        <v>937</v>
      </c>
      <c r="F14" s="16">
        <v>0.15</v>
      </c>
      <c r="G14" s="1" t="s">
        <v>1831</v>
      </c>
      <c r="H14" s="1" t="s">
        <v>1832</v>
      </c>
    </row>
    <row r="15" spans="2:8" x14ac:dyDescent="0.2">
      <c r="E15" s="1" t="s">
        <v>1833</v>
      </c>
      <c r="F15" s="16">
        <v>0.15</v>
      </c>
      <c r="G15" s="1" t="s">
        <v>1834</v>
      </c>
      <c r="H15" s="1" t="s">
        <v>1835</v>
      </c>
    </row>
    <row r="16" spans="2:8" x14ac:dyDescent="0.2">
      <c r="E16" s="1" t="s">
        <v>1836</v>
      </c>
      <c r="F16" s="16">
        <v>0.15</v>
      </c>
      <c r="G16" s="1" t="s">
        <v>1837</v>
      </c>
      <c r="H16" s="1" t="s">
        <v>1838</v>
      </c>
    </row>
    <row r="17" spans="5:8" x14ac:dyDescent="0.2">
      <c r="E17" s="1" t="s">
        <v>2</v>
      </c>
      <c r="F17" s="16">
        <v>0.1</v>
      </c>
      <c r="G17" s="1" t="s">
        <v>1011</v>
      </c>
      <c r="H17" s="1" t="s">
        <v>1839</v>
      </c>
    </row>
    <row r="19" spans="5:8" ht="15.5" customHeight="1" x14ac:dyDescent="0.2">
      <c r="E19" s="17" t="s">
        <v>1840</v>
      </c>
      <c r="F19" s="15"/>
      <c r="G19" s="15"/>
      <c r="H19" s="15"/>
    </row>
    <row r="20" spans="5:8" x14ac:dyDescent="0.2">
      <c r="E20" s="12" t="s">
        <v>82</v>
      </c>
      <c r="F20" s="12" t="s">
        <v>341</v>
      </c>
      <c r="G20" s="12" t="s">
        <v>931</v>
      </c>
      <c r="H20" s="12" t="s">
        <v>1</v>
      </c>
    </row>
    <row r="21" spans="5:8" x14ac:dyDescent="0.2">
      <c r="E21" s="1" t="s">
        <v>1841</v>
      </c>
      <c r="F21" s="16">
        <v>0.2</v>
      </c>
      <c r="G21" s="1" t="s">
        <v>1200</v>
      </c>
      <c r="H21" s="1" t="s">
        <v>1842</v>
      </c>
    </row>
    <row r="22" spans="5:8" x14ac:dyDescent="0.2">
      <c r="E22" s="1" t="s">
        <v>1843</v>
      </c>
      <c r="F22" s="16">
        <v>0.2</v>
      </c>
      <c r="G22" s="1" t="s">
        <v>1844</v>
      </c>
      <c r="H22" s="1" t="s">
        <v>1845</v>
      </c>
    </row>
    <row r="23" spans="5:8" x14ac:dyDescent="0.2">
      <c r="E23" s="1" t="s">
        <v>1846</v>
      </c>
      <c r="F23" s="16">
        <v>0.15</v>
      </c>
      <c r="G23" s="1" t="s">
        <v>1847</v>
      </c>
      <c r="H23" s="1" t="s">
        <v>1848</v>
      </c>
    </row>
    <row r="24" spans="5:8" x14ac:dyDescent="0.2">
      <c r="E24" s="1" t="s">
        <v>1849</v>
      </c>
      <c r="F24" s="16">
        <v>0.15</v>
      </c>
      <c r="G24" s="1" t="s">
        <v>1850</v>
      </c>
      <c r="H24" s="1" t="s">
        <v>1851</v>
      </c>
    </row>
    <row r="25" spans="5:8" x14ac:dyDescent="0.2">
      <c r="E25" s="1" t="s">
        <v>1852</v>
      </c>
      <c r="F25" s="16">
        <v>0.15</v>
      </c>
      <c r="G25" s="1" t="s">
        <v>1853</v>
      </c>
      <c r="H25" s="1" t="s">
        <v>1854</v>
      </c>
    </row>
    <row r="26" spans="5:8" x14ac:dyDescent="0.2">
      <c r="E26" s="1" t="s">
        <v>2</v>
      </c>
      <c r="F26" s="16">
        <v>0.15</v>
      </c>
      <c r="G26" s="1" t="s">
        <v>982</v>
      </c>
      <c r="H26" s="1" t="s">
        <v>1855</v>
      </c>
    </row>
    <row r="28" spans="5:8" ht="15.5" customHeight="1" x14ac:dyDescent="0.2">
      <c r="E28" s="17" t="s">
        <v>1856</v>
      </c>
      <c r="F28" s="15"/>
      <c r="G28" s="15"/>
      <c r="H28" s="15"/>
    </row>
    <row r="29" spans="5:8" x14ac:dyDescent="0.2">
      <c r="E29" s="12" t="s">
        <v>82</v>
      </c>
      <c r="F29" s="12" t="s">
        <v>341</v>
      </c>
      <c r="G29" s="12" t="s">
        <v>931</v>
      </c>
      <c r="H29" s="12" t="s">
        <v>1</v>
      </c>
    </row>
    <row r="30" spans="5:8" x14ac:dyDescent="0.2">
      <c r="E30" s="1" t="s">
        <v>933</v>
      </c>
      <c r="F30" s="16">
        <v>0.15</v>
      </c>
      <c r="G30" s="1" t="s">
        <v>1857</v>
      </c>
      <c r="H30" s="1" t="s">
        <v>1858</v>
      </c>
    </row>
    <row r="31" spans="5:8" x14ac:dyDescent="0.2">
      <c r="E31" s="1" t="s">
        <v>1841</v>
      </c>
      <c r="F31" s="16">
        <v>0.2</v>
      </c>
      <c r="G31" s="1" t="s">
        <v>1200</v>
      </c>
      <c r="H31" s="1" t="s">
        <v>1859</v>
      </c>
    </row>
    <row r="32" spans="5:8" x14ac:dyDescent="0.2">
      <c r="E32" s="1" t="s">
        <v>1860</v>
      </c>
      <c r="F32" s="16">
        <v>0.15</v>
      </c>
      <c r="G32" s="1" t="s">
        <v>1861</v>
      </c>
      <c r="H32" s="1" t="s">
        <v>1862</v>
      </c>
    </row>
    <row r="33" spans="5:8" x14ac:dyDescent="0.2">
      <c r="E33" s="1" t="s">
        <v>1421</v>
      </c>
      <c r="F33" s="16">
        <v>0.15</v>
      </c>
      <c r="G33" s="1" t="s">
        <v>1863</v>
      </c>
      <c r="H33" s="1" t="s">
        <v>1864</v>
      </c>
    </row>
    <row r="34" spans="5:8" x14ac:dyDescent="0.2">
      <c r="E34" s="1" t="s">
        <v>203</v>
      </c>
      <c r="F34" s="16">
        <v>0.2</v>
      </c>
      <c r="G34" s="1" t="s">
        <v>1865</v>
      </c>
      <c r="H34" s="1" t="s">
        <v>1866</v>
      </c>
    </row>
    <row r="35" spans="5:8" x14ac:dyDescent="0.2">
      <c r="E35" s="1" t="s">
        <v>2</v>
      </c>
      <c r="F35" s="16">
        <v>0.15</v>
      </c>
      <c r="G35" s="1" t="s">
        <v>982</v>
      </c>
      <c r="H35" s="1" t="s">
        <v>1867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H57"/>
  <sheetViews>
    <sheetView zoomScale="68" workbookViewId="0">
      <selection activeCell="E2" sqref="E2"/>
    </sheetView>
  </sheetViews>
  <sheetFormatPr baseColWidth="10" defaultColWidth="8.83203125" defaultRowHeight="15" x14ac:dyDescent="0.2"/>
  <cols>
    <col min="1" max="1" width="2.5" customWidth="1"/>
    <col min="3" max="3" width="44" bestFit="1" customWidth="1"/>
    <col min="5" max="5" width="25.33203125" customWidth="1"/>
    <col min="6" max="6" width="8.83203125" customWidth="1"/>
    <col min="7" max="7" width="32.1640625" bestFit="1" customWidth="1"/>
    <col min="8" max="8" width="187.83203125" bestFit="1" customWidth="1"/>
  </cols>
  <sheetData>
    <row r="2" spans="2:8" ht="17.5" customHeight="1" x14ac:dyDescent="0.2">
      <c r="B2" s="2" t="s">
        <v>81</v>
      </c>
      <c r="C2" s="4" t="s">
        <v>1868</v>
      </c>
      <c r="E2" s="8" t="s">
        <v>930</v>
      </c>
      <c r="F2" s="8" t="s">
        <v>341</v>
      </c>
      <c r="G2" s="12" t="s">
        <v>931</v>
      </c>
      <c r="H2" s="2" t="s">
        <v>1091</v>
      </c>
    </row>
    <row r="3" spans="2:8" ht="16" x14ac:dyDescent="0.2">
      <c r="B3" s="1">
        <v>1</v>
      </c>
      <c r="C3" s="5" t="s">
        <v>1869</v>
      </c>
      <c r="E3" s="9" t="s">
        <v>1870</v>
      </c>
      <c r="F3" s="10">
        <v>0.2</v>
      </c>
      <c r="G3" s="14" t="s">
        <v>1871</v>
      </c>
      <c r="H3" s="1" t="s">
        <v>1872</v>
      </c>
    </row>
    <row r="4" spans="2:8" ht="16" x14ac:dyDescent="0.2">
      <c r="B4" s="1">
        <v>2</v>
      </c>
      <c r="C4" s="5" t="s">
        <v>1873</v>
      </c>
      <c r="E4" s="9" t="s">
        <v>1874</v>
      </c>
      <c r="F4" s="10">
        <v>0.15</v>
      </c>
      <c r="G4" s="14" t="s">
        <v>1875</v>
      </c>
      <c r="H4" s="1" t="s">
        <v>1876</v>
      </c>
    </row>
    <row r="5" spans="2:8" ht="16" x14ac:dyDescent="0.2">
      <c r="B5" s="1">
        <v>3</v>
      </c>
      <c r="C5" s="5" t="s">
        <v>1877</v>
      </c>
      <c r="E5" s="9" t="s">
        <v>1878</v>
      </c>
      <c r="F5" s="10">
        <v>0.15</v>
      </c>
      <c r="G5" s="14" t="s">
        <v>1879</v>
      </c>
      <c r="H5" s="1" t="s">
        <v>1880</v>
      </c>
    </row>
    <row r="6" spans="2:8" ht="16" x14ac:dyDescent="0.2">
      <c r="B6" s="1">
        <v>4</v>
      </c>
      <c r="C6" s="5" t="s">
        <v>1881</v>
      </c>
      <c r="E6" s="9" t="s">
        <v>1882</v>
      </c>
      <c r="F6" s="10">
        <v>0.2</v>
      </c>
      <c r="G6" s="14" t="s">
        <v>1883</v>
      </c>
      <c r="H6" s="1" t="s">
        <v>1884</v>
      </c>
    </row>
    <row r="7" spans="2:8" ht="16" x14ac:dyDescent="0.2">
      <c r="B7" s="1">
        <v>5</v>
      </c>
      <c r="C7" s="5" t="s">
        <v>940</v>
      </c>
      <c r="E7" s="9" t="s">
        <v>1390</v>
      </c>
      <c r="F7" s="10">
        <v>0.1</v>
      </c>
      <c r="G7" s="14" t="s">
        <v>1885</v>
      </c>
      <c r="H7" s="1" t="s">
        <v>1886</v>
      </c>
    </row>
    <row r="8" spans="2:8" ht="16" x14ac:dyDescent="0.2">
      <c r="E8" s="9" t="s">
        <v>1887</v>
      </c>
      <c r="F8" s="10">
        <v>0.1</v>
      </c>
      <c r="G8" s="14" t="s">
        <v>1109</v>
      </c>
      <c r="H8" s="1" t="s">
        <v>1888</v>
      </c>
    </row>
    <row r="9" spans="2:8" ht="16" x14ac:dyDescent="0.2">
      <c r="E9" s="9" t="s">
        <v>1889</v>
      </c>
      <c r="F9" s="10">
        <v>0.1</v>
      </c>
      <c r="G9" s="14" t="s">
        <v>1890</v>
      </c>
      <c r="H9" s="1" t="s">
        <v>1891</v>
      </c>
    </row>
    <row r="11" spans="2:8" ht="31" customHeight="1" x14ac:dyDescent="0.2">
      <c r="E11" s="18" t="s">
        <v>1892</v>
      </c>
      <c r="F11" s="15"/>
      <c r="G11" s="15"/>
      <c r="H11" s="15"/>
    </row>
    <row r="12" spans="2:8" x14ac:dyDescent="0.2">
      <c r="E12" s="12" t="s">
        <v>82</v>
      </c>
      <c r="F12" s="12"/>
      <c r="G12" s="12"/>
      <c r="H12" s="12" t="s">
        <v>1</v>
      </c>
    </row>
    <row r="13" spans="2:8" x14ac:dyDescent="0.2">
      <c r="E13" s="11" t="s">
        <v>1893</v>
      </c>
      <c r="F13" s="26">
        <v>0.2</v>
      </c>
      <c r="G13" s="11"/>
      <c r="H13" s="1" t="s">
        <v>1894</v>
      </c>
    </row>
    <row r="14" spans="2:8" x14ac:dyDescent="0.2">
      <c r="E14" s="1" t="s">
        <v>1895</v>
      </c>
      <c r="F14" s="16">
        <v>0.2</v>
      </c>
      <c r="G14" s="1" t="s">
        <v>1896</v>
      </c>
      <c r="H14" s="1" t="s">
        <v>1897</v>
      </c>
    </row>
    <row r="15" spans="2:8" x14ac:dyDescent="0.2">
      <c r="E15" s="1" t="s">
        <v>1199</v>
      </c>
      <c r="F15" s="16">
        <v>0.15</v>
      </c>
      <c r="G15" s="1" t="s">
        <v>1898</v>
      </c>
      <c r="H15" s="1" t="s">
        <v>1899</v>
      </c>
    </row>
    <row r="16" spans="2:8" x14ac:dyDescent="0.2">
      <c r="E16" s="1" t="s">
        <v>1900</v>
      </c>
      <c r="F16" s="16">
        <v>0.15</v>
      </c>
      <c r="G16" s="1" t="s">
        <v>1901</v>
      </c>
      <c r="H16" s="1" t="s">
        <v>1902</v>
      </c>
    </row>
    <row r="17" spans="5:8" x14ac:dyDescent="0.2">
      <c r="E17" s="1" t="s">
        <v>3</v>
      </c>
      <c r="F17" s="16">
        <v>0.1</v>
      </c>
      <c r="G17" s="1" t="s">
        <v>1903</v>
      </c>
      <c r="H17" s="1" t="s">
        <v>1904</v>
      </c>
    </row>
    <row r="18" spans="5:8" x14ac:dyDescent="0.2">
      <c r="E18" s="1" t="s">
        <v>1905</v>
      </c>
      <c r="F18" s="16">
        <v>0.1</v>
      </c>
      <c r="G18" s="1" t="s">
        <v>1906</v>
      </c>
      <c r="H18" s="1" t="s">
        <v>1907</v>
      </c>
    </row>
    <row r="19" spans="5:8" x14ac:dyDescent="0.2">
      <c r="E19" s="1" t="s">
        <v>937</v>
      </c>
      <c r="F19" s="16">
        <v>0.1</v>
      </c>
      <c r="G19" s="1" t="s">
        <v>1422</v>
      </c>
      <c r="H19" s="1" t="s">
        <v>1908</v>
      </c>
    </row>
    <row r="20" spans="5:8" x14ac:dyDescent="0.2">
      <c r="E20" s="1"/>
      <c r="F20" s="1"/>
      <c r="G20" s="1"/>
      <c r="H20" s="1"/>
    </row>
    <row r="21" spans="5:8" ht="15.5" customHeight="1" x14ac:dyDescent="0.2">
      <c r="E21" s="17" t="s">
        <v>1909</v>
      </c>
      <c r="F21" s="15"/>
      <c r="G21" s="15"/>
      <c r="H21" s="15"/>
    </row>
    <row r="22" spans="5:8" x14ac:dyDescent="0.2">
      <c r="E22" s="12" t="s">
        <v>82</v>
      </c>
      <c r="F22" s="12" t="s">
        <v>341</v>
      </c>
      <c r="G22" s="12" t="s">
        <v>931</v>
      </c>
      <c r="H22" s="12" t="s">
        <v>1</v>
      </c>
    </row>
    <row r="23" spans="5:8" x14ac:dyDescent="0.2">
      <c r="E23" s="1" t="s">
        <v>1910</v>
      </c>
      <c r="F23" s="16">
        <v>0.25</v>
      </c>
      <c r="G23" s="1" t="s">
        <v>1911</v>
      </c>
      <c r="H23" s="1" t="s">
        <v>1912</v>
      </c>
    </row>
    <row r="24" spans="5:8" x14ac:dyDescent="0.2">
      <c r="E24" s="1" t="s">
        <v>1913</v>
      </c>
      <c r="F24" s="16">
        <v>0.15</v>
      </c>
      <c r="G24" s="1" t="s">
        <v>1914</v>
      </c>
      <c r="H24" s="1" t="s">
        <v>1915</v>
      </c>
    </row>
    <row r="25" spans="5:8" x14ac:dyDescent="0.2">
      <c r="E25" s="1" t="s">
        <v>1916</v>
      </c>
      <c r="F25" s="16">
        <v>0.15</v>
      </c>
      <c r="G25" s="1" t="s">
        <v>1917</v>
      </c>
      <c r="H25" s="1" t="s">
        <v>1918</v>
      </c>
    </row>
    <row r="26" spans="5:8" x14ac:dyDescent="0.2">
      <c r="E26" s="1" t="s">
        <v>1878</v>
      </c>
      <c r="F26" s="16">
        <v>0.15</v>
      </c>
      <c r="G26" s="1" t="s">
        <v>1919</v>
      </c>
      <c r="H26" s="1" t="s">
        <v>1920</v>
      </c>
    </row>
    <row r="27" spans="5:8" x14ac:dyDescent="0.2">
      <c r="E27" s="1" t="s">
        <v>1921</v>
      </c>
      <c r="F27" s="16">
        <v>0.1</v>
      </c>
      <c r="G27" s="1" t="s">
        <v>1922</v>
      </c>
      <c r="H27" s="1" t="s">
        <v>1923</v>
      </c>
    </row>
    <row r="28" spans="5:8" x14ac:dyDescent="0.2">
      <c r="E28" s="1" t="s">
        <v>3</v>
      </c>
      <c r="F28" s="16">
        <v>0.1</v>
      </c>
      <c r="G28" s="1" t="s">
        <v>1924</v>
      </c>
      <c r="H28" s="1" t="s">
        <v>1925</v>
      </c>
    </row>
    <row r="29" spans="5:8" x14ac:dyDescent="0.2">
      <c r="E29" s="1" t="s">
        <v>1926</v>
      </c>
      <c r="F29" s="16">
        <v>0.1</v>
      </c>
      <c r="G29" s="1" t="s">
        <v>1927</v>
      </c>
      <c r="H29" s="1" t="s">
        <v>1928</v>
      </c>
    </row>
    <row r="30" spans="5:8" x14ac:dyDescent="0.2">
      <c r="E30" s="1"/>
      <c r="F30" s="1"/>
      <c r="G30" s="1"/>
      <c r="H30" s="1"/>
    </row>
    <row r="31" spans="5:8" ht="15.5" customHeight="1" x14ac:dyDescent="0.2">
      <c r="E31" s="17" t="s">
        <v>1929</v>
      </c>
      <c r="F31" s="15"/>
      <c r="G31" s="15"/>
      <c r="H31" s="15"/>
    </row>
    <row r="32" spans="5:8" x14ac:dyDescent="0.2">
      <c r="E32" s="12" t="s">
        <v>82</v>
      </c>
      <c r="F32" s="12" t="s">
        <v>341</v>
      </c>
      <c r="G32" s="12" t="s">
        <v>931</v>
      </c>
      <c r="H32" s="12" t="s">
        <v>1</v>
      </c>
    </row>
    <row r="33" spans="5:8" x14ac:dyDescent="0.2">
      <c r="E33" s="1" t="s">
        <v>1930</v>
      </c>
      <c r="F33" s="16">
        <v>0.2</v>
      </c>
      <c r="G33" s="1" t="s">
        <v>1006</v>
      </c>
      <c r="H33" s="1" t="s">
        <v>1931</v>
      </c>
    </row>
    <row r="34" spans="5:8" x14ac:dyDescent="0.2">
      <c r="E34" s="1" t="s">
        <v>1932</v>
      </c>
      <c r="F34" s="16">
        <v>0.2</v>
      </c>
      <c r="G34" s="1" t="s">
        <v>1933</v>
      </c>
      <c r="H34" s="1" t="s">
        <v>1934</v>
      </c>
    </row>
    <row r="35" spans="5:8" x14ac:dyDescent="0.2">
      <c r="E35" s="1" t="s">
        <v>937</v>
      </c>
      <c r="F35" s="16">
        <v>0.15</v>
      </c>
      <c r="G35" s="1" t="s">
        <v>1935</v>
      </c>
      <c r="H35" s="1" t="s">
        <v>1936</v>
      </c>
    </row>
    <row r="36" spans="5:8" x14ac:dyDescent="0.2">
      <c r="E36" s="1" t="s">
        <v>1937</v>
      </c>
      <c r="F36" s="16">
        <v>0.15</v>
      </c>
      <c r="G36" s="1" t="s">
        <v>1938</v>
      </c>
      <c r="H36" s="1" t="s">
        <v>1939</v>
      </c>
    </row>
    <row r="37" spans="5:8" x14ac:dyDescent="0.2">
      <c r="E37" s="1" t="s">
        <v>3</v>
      </c>
      <c r="F37" s="16">
        <v>0.1</v>
      </c>
      <c r="G37" s="1" t="s">
        <v>1924</v>
      </c>
      <c r="H37" s="1" t="s">
        <v>1940</v>
      </c>
    </row>
    <row r="38" spans="5:8" x14ac:dyDescent="0.2">
      <c r="E38" s="1" t="s">
        <v>1941</v>
      </c>
      <c r="F38" s="16">
        <v>0.1</v>
      </c>
      <c r="G38" s="1" t="s">
        <v>1942</v>
      </c>
      <c r="H38" s="1" t="s">
        <v>1943</v>
      </c>
    </row>
    <row r="39" spans="5:8" x14ac:dyDescent="0.2">
      <c r="E39" s="1" t="s">
        <v>2</v>
      </c>
      <c r="F39" s="16">
        <v>0.1</v>
      </c>
      <c r="G39" s="1" t="s">
        <v>1011</v>
      </c>
      <c r="H39" s="1" t="s">
        <v>1944</v>
      </c>
    </row>
    <row r="40" spans="5:8" x14ac:dyDescent="0.2">
      <c r="E40" s="1"/>
      <c r="F40" s="1"/>
      <c r="G40" s="1"/>
      <c r="H40" s="1"/>
    </row>
    <row r="41" spans="5:8" ht="15.5" customHeight="1" x14ac:dyDescent="0.2">
      <c r="E41" s="17" t="s">
        <v>1945</v>
      </c>
      <c r="F41" s="15"/>
      <c r="G41" s="15"/>
      <c r="H41" s="15"/>
    </row>
    <row r="42" spans="5:8" x14ac:dyDescent="0.2">
      <c r="E42" s="12" t="s">
        <v>82</v>
      </c>
      <c r="F42" s="12" t="s">
        <v>341</v>
      </c>
      <c r="G42" s="12" t="s">
        <v>931</v>
      </c>
      <c r="H42" s="12" t="s">
        <v>1</v>
      </c>
    </row>
    <row r="43" spans="5:8" x14ac:dyDescent="0.2">
      <c r="E43" s="1" t="s">
        <v>1199</v>
      </c>
      <c r="F43" s="16">
        <v>0.2</v>
      </c>
      <c r="G43" s="1" t="s">
        <v>1200</v>
      </c>
      <c r="H43" s="1" t="s">
        <v>1946</v>
      </c>
    </row>
    <row r="44" spans="5:8" x14ac:dyDescent="0.2">
      <c r="E44" s="1" t="s">
        <v>1947</v>
      </c>
      <c r="F44" s="16">
        <v>0.15</v>
      </c>
      <c r="G44" s="1" t="s">
        <v>1948</v>
      </c>
      <c r="H44" s="1" t="s">
        <v>1949</v>
      </c>
    </row>
    <row r="45" spans="5:8" x14ac:dyDescent="0.2">
      <c r="E45" s="1" t="s">
        <v>1124</v>
      </c>
      <c r="F45" s="16">
        <v>0.2</v>
      </c>
      <c r="G45" s="1" t="s">
        <v>1950</v>
      </c>
      <c r="H45" s="1" t="s">
        <v>1951</v>
      </c>
    </row>
    <row r="46" spans="5:8" x14ac:dyDescent="0.2">
      <c r="E46" s="1" t="s">
        <v>937</v>
      </c>
      <c r="F46" s="16">
        <v>0.15</v>
      </c>
      <c r="G46" s="1" t="s">
        <v>1175</v>
      </c>
      <c r="H46" s="1" t="s">
        <v>1952</v>
      </c>
    </row>
    <row r="47" spans="5:8" x14ac:dyDescent="0.2">
      <c r="E47" s="1" t="s">
        <v>1953</v>
      </c>
      <c r="F47" s="16">
        <v>0.15</v>
      </c>
      <c r="G47" s="1" t="s">
        <v>1954</v>
      </c>
      <c r="H47" s="1" t="s">
        <v>1955</v>
      </c>
    </row>
    <row r="48" spans="5:8" x14ac:dyDescent="0.2">
      <c r="E48" s="1" t="s">
        <v>1956</v>
      </c>
      <c r="F48" s="16">
        <v>0.15</v>
      </c>
      <c r="G48" s="1" t="s">
        <v>1957</v>
      </c>
      <c r="H48" s="1" t="s">
        <v>1958</v>
      </c>
    </row>
    <row r="49" spans="5:8" x14ac:dyDescent="0.2">
      <c r="E49" s="1"/>
      <c r="F49" s="1"/>
      <c r="G49" s="1"/>
      <c r="H49" s="1"/>
    </row>
    <row r="50" spans="5:8" ht="15.5" customHeight="1" x14ac:dyDescent="0.2">
      <c r="E50" s="17" t="s">
        <v>1959</v>
      </c>
      <c r="F50" s="15"/>
      <c r="G50" s="15"/>
      <c r="H50" s="15"/>
    </row>
    <row r="51" spans="5:8" x14ac:dyDescent="0.2">
      <c r="E51" s="12" t="s">
        <v>82</v>
      </c>
      <c r="F51" s="12" t="s">
        <v>341</v>
      </c>
      <c r="G51" s="12" t="s">
        <v>931</v>
      </c>
      <c r="H51" s="12" t="s">
        <v>1</v>
      </c>
    </row>
    <row r="52" spans="5:8" x14ac:dyDescent="0.2">
      <c r="E52" s="1" t="s">
        <v>1960</v>
      </c>
      <c r="F52" s="16">
        <v>0.25</v>
      </c>
      <c r="G52" s="1" t="s">
        <v>1961</v>
      </c>
      <c r="H52" s="1" t="s">
        <v>1962</v>
      </c>
    </row>
    <row r="53" spans="5:8" x14ac:dyDescent="0.2">
      <c r="E53" s="1" t="s">
        <v>1963</v>
      </c>
      <c r="F53" s="16">
        <v>0.15</v>
      </c>
      <c r="G53" s="1" t="s">
        <v>1964</v>
      </c>
      <c r="H53" s="1" t="s">
        <v>1965</v>
      </c>
    </row>
    <row r="54" spans="5:8" x14ac:dyDescent="0.2">
      <c r="E54" s="1" t="s">
        <v>968</v>
      </c>
      <c r="F54" s="16">
        <v>0.15</v>
      </c>
      <c r="G54" s="1" t="s">
        <v>1153</v>
      </c>
      <c r="H54" s="1" t="s">
        <v>1966</v>
      </c>
    </row>
    <row r="55" spans="5:8" x14ac:dyDescent="0.2">
      <c r="E55" s="1" t="s">
        <v>1003</v>
      </c>
      <c r="F55" s="16">
        <v>0.15</v>
      </c>
      <c r="G55" s="1" t="s">
        <v>1967</v>
      </c>
      <c r="H55" s="1" t="s">
        <v>1968</v>
      </c>
    </row>
    <row r="56" spans="5:8" x14ac:dyDescent="0.2">
      <c r="E56" s="1" t="s">
        <v>937</v>
      </c>
      <c r="F56" s="16">
        <v>0.15</v>
      </c>
      <c r="G56" s="1" t="s">
        <v>974</v>
      </c>
      <c r="H56" s="1" t="s">
        <v>1969</v>
      </c>
    </row>
    <row r="57" spans="5:8" x14ac:dyDescent="0.2">
      <c r="E57" s="1" t="s">
        <v>1970</v>
      </c>
      <c r="F57" s="16">
        <v>0.15</v>
      </c>
      <c r="G57" s="1" t="s">
        <v>1971</v>
      </c>
      <c r="H57" s="1" t="s">
        <v>1972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H64"/>
  <sheetViews>
    <sheetView zoomScale="86" zoomScaleNormal="55" workbookViewId="0">
      <selection activeCell="E2" sqref="E2"/>
    </sheetView>
  </sheetViews>
  <sheetFormatPr baseColWidth="10" defaultColWidth="8.83203125" defaultRowHeight="15" x14ac:dyDescent="0.2"/>
  <cols>
    <col min="1" max="1" width="2.5" customWidth="1"/>
    <col min="3" max="3" width="40.6640625" bestFit="1" customWidth="1"/>
    <col min="4" max="4" width="4.1640625" customWidth="1"/>
    <col min="5" max="5" width="22.83203125" bestFit="1" customWidth="1"/>
    <col min="7" max="7" width="24" bestFit="1" customWidth="1"/>
    <col min="8" max="8" width="151" customWidth="1"/>
  </cols>
  <sheetData>
    <row r="2" spans="2:8" ht="17.5" customHeight="1" x14ac:dyDescent="0.2">
      <c r="B2" s="1" t="s">
        <v>81</v>
      </c>
      <c r="C2" s="4" t="s">
        <v>1973</v>
      </c>
      <c r="E2" s="8" t="s">
        <v>930</v>
      </c>
      <c r="F2" s="8" t="s">
        <v>341</v>
      </c>
      <c r="G2" s="12" t="s">
        <v>931</v>
      </c>
      <c r="H2" s="1" t="s">
        <v>1091</v>
      </c>
    </row>
    <row r="3" spans="2:8" ht="16" x14ac:dyDescent="0.2">
      <c r="B3" s="1">
        <v>1</v>
      </c>
      <c r="C3" s="5" t="s">
        <v>1974</v>
      </c>
      <c r="E3" s="9" t="s">
        <v>1975</v>
      </c>
      <c r="F3" s="10">
        <v>0.2</v>
      </c>
      <c r="G3" s="14" t="s">
        <v>1976</v>
      </c>
      <c r="H3" s="1" t="s">
        <v>1977</v>
      </c>
    </row>
    <row r="4" spans="2:8" ht="16" x14ac:dyDescent="0.2">
      <c r="B4" s="1">
        <v>2</v>
      </c>
      <c r="C4" s="5" t="s">
        <v>1978</v>
      </c>
      <c r="E4" s="9" t="s">
        <v>1421</v>
      </c>
      <c r="F4" s="10">
        <v>0.2</v>
      </c>
      <c r="G4" s="14" t="s">
        <v>1979</v>
      </c>
      <c r="H4" s="1" t="s">
        <v>1980</v>
      </c>
    </row>
    <row r="5" spans="2:8" ht="16" x14ac:dyDescent="0.2">
      <c r="B5" s="1">
        <v>3</v>
      </c>
      <c r="C5" s="5" t="s">
        <v>1981</v>
      </c>
      <c r="E5" s="9" t="s">
        <v>2</v>
      </c>
      <c r="F5" s="10">
        <v>0.15</v>
      </c>
      <c r="G5" s="14" t="s">
        <v>1040</v>
      </c>
      <c r="H5" s="1" t="s">
        <v>1982</v>
      </c>
    </row>
    <row r="6" spans="2:8" ht="16" x14ac:dyDescent="0.2">
      <c r="B6" s="1">
        <v>4</v>
      </c>
      <c r="C6" s="5" t="s">
        <v>1983</v>
      </c>
      <c r="E6" s="9" t="s">
        <v>1566</v>
      </c>
      <c r="F6" s="10">
        <v>0.15</v>
      </c>
      <c r="G6" s="14" t="s">
        <v>1984</v>
      </c>
      <c r="H6" s="1" t="s">
        <v>1985</v>
      </c>
    </row>
    <row r="7" spans="2:8" ht="16" x14ac:dyDescent="0.2">
      <c r="B7" s="1">
        <v>5</v>
      </c>
      <c r="C7" s="5" t="s">
        <v>1986</v>
      </c>
      <c r="E7" s="9" t="s">
        <v>1987</v>
      </c>
      <c r="F7" s="10">
        <v>0.1</v>
      </c>
      <c r="G7" s="14" t="s">
        <v>1988</v>
      </c>
      <c r="H7" s="1" t="s">
        <v>1989</v>
      </c>
    </row>
    <row r="8" spans="2:8" ht="16" x14ac:dyDescent="0.2">
      <c r="B8" s="1">
        <v>6</v>
      </c>
      <c r="C8" s="5" t="s">
        <v>1990</v>
      </c>
      <c r="E8" s="9" t="s">
        <v>1991</v>
      </c>
      <c r="F8" s="10">
        <v>0.1</v>
      </c>
      <c r="G8" s="14" t="s">
        <v>1992</v>
      </c>
      <c r="H8" s="1" t="s">
        <v>1993</v>
      </c>
    </row>
    <row r="9" spans="2:8" ht="16" x14ac:dyDescent="0.2">
      <c r="E9" s="9" t="s">
        <v>1994</v>
      </c>
      <c r="F9" s="10">
        <v>0.1</v>
      </c>
      <c r="G9" s="14" t="s">
        <v>1995</v>
      </c>
      <c r="H9" s="1" t="s">
        <v>1996</v>
      </c>
    </row>
    <row r="11" spans="2:8" ht="15.5" customHeight="1" x14ac:dyDescent="0.2">
      <c r="E11" s="18" t="s">
        <v>1997</v>
      </c>
      <c r="F11" s="15"/>
      <c r="G11" s="15"/>
      <c r="H11" s="15"/>
    </row>
    <row r="12" spans="2:8" x14ac:dyDescent="0.2">
      <c r="E12" s="12" t="s">
        <v>82</v>
      </c>
      <c r="F12" s="12" t="s">
        <v>341</v>
      </c>
      <c r="G12" s="12" t="s">
        <v>931</v>
      </c>
      <c r="H12" s="12" t="s">
        <v>1</v>
      </c>
    </row>
    <row r="13" spans="2:8" x14ac:dyDescent="0.2">
      <c r="E13" s="24" t="s">
        <v>1045</v>
      </c>
      <c r="F13" s="16">
        <v>0.2</v>
      </c>
      <c r="G13" s="1" t="s">
        <v>1350</v>
      </c>
      <c r="H13" s="1" t="s">
        <v>1998</v>
      </c>
    </row>
    <row r="14" spans="2:8" x14ac:dyDescent="0.2">
      <c r="E14" s="24" t="s">
        <v>1421</v>
      </c>
      <c r="F14" s="16">
        <v>0.15</v>
      </c>
      <c r="G14" s="1" t="s">
        <v>1979</v>
      </c>
      <c r="H14" s="1" t="s">
        <v>1999</v>
      </c>
    </row>
    <row r="15" spans="2:8" x14ac:dyDescent="0.2">
      <c r="E15" s="1" t="s">
        <v>2000</v>
      </c>
      <c r="F15" s="16">
        <v>0.15</v>
      </c>
      <c r="G15" s="1" t="s">
        <v>2001</v>
      </c>
      <c r="H15" s="1" t="s">
        <v>2002</v>
      </c>
    </row>
    <row r="16" spans="2:8" x14ac:dyDescent="0.2">
      <c r="E16" s="1" t="s">
        <v>1566</v>
      </c>
      <c r="F16" s="16">
        <v>0.15</v>
      </c>
      <c r="G16" s="1" t="s">
        <v>2003</v>
      </c>
      <c r="H16" s="1" t="s">
        <v>2004</v>
      </c>
    </row>
    <row r="17" spans="5:8" x14ac:dyDescent="0.2">
      <c r="E17" s="1" t="s">
        <v>2</v>
      </c>
      <c r="F17" s="16">
        <v>0.15</v>
      </c>
      <c r="G17" s="1" t="s">
        <v>1040</v>
      </c>
      <c r="H17" s="1" t="s">
        <v>2005</v>
      </c>
    </row>
    <row r="18" spans="5:8" x14ac:dyDescent="0.2">
      <c r="E18" s="1" t="s">
        <v>2006</v>
      </c>
      <c r="F18" s="16">
        <v>0.1</v>
      </c>
      <c r="G18" s="1" t="s">
        <v>2007</v>
      </c>
      <c r="H18" s="1" t="s">
        <v>2008</v>
      </c>
    </row>
    <row r="19" spans="5:8" x14ac:dyDescent="0.2">
      <c r="E19" s="1" t="s">
        <v>2009</v>
      </c>
      <c r="F19" s="16">
        <v>0.1</v>
      </c>
      <c r="G19" s="1" t="s">
        <v>1001</v>
      </c>
      <c r="H19" s="1" t="s">
        <v>2010</v>
      </c>
    </row>
    <row r="20" spans="5:8" x14ac:dyDescent="0.2">
      <c r="E20" s="1"/>
      <c r="F20" s="1"/>
      <c r="G20" s="1"/>
      <c r="H20" s="1"/>
    </row>
    <row r="21" spans="5:8" ht="15.5" customHeight="1" x14ac:dyDescent="0.2">
      <c r="E21" s="17" t="s">
        <v>2011</v>
      </c>
      <c r="F21" s="15"/>
      <c r="G21" s="15"/>
      <c r="H21" s="15"/>
    </row>
    <row r="22" spans="5:8" x14ac:dyDescent="0.2">
      <c r="E22" s="12" t="s">
        <v>82</v>
      </c>
      <c r="F22" s="12" t="s">
        <v>341</v>
      </c>
      <c r="G22" s="12" t="s">
        <v>931</v>
      </c>
      <c r="H22" s="12" t="s">
        <v>1</v>
      </c>
    </row>
    <row r="23" spans="5:8" x14ac:dyDescent="0.2">
      <c r="E23" s="1" t="s">
        <v>1045</v>
      </c>
      <c r="F23" s="16">
        <v>0.2</v>
      </c>
      <c r="G23" s="1" t="s">
        <v>2012</v>
      </c>
      <c r="H23" s="1" t="s">
        <v>2013</v>
      </c>
    </row>
    <row r="24" spans="5:8" x14ac:dyDescent="0.2">
      <c r="E24" s="1" t="s">
        <v>1421</v>
      </c>
      <c r="F24" s="16">
        <v>0.2</v>
      </c>
      <c r="G24" s="1" t="s">
        <v>2014</v>
      </c>
      <c r="H24" s="1" t="s">
        <v>2015</v>
      </c>
    </row>
    <row r="25" spans="5:8" x14ac:dyDescent="0.2">
      <c r="E25" s="1" t="s">
        <v>1354</v>
      </c>
      <c r="F25" s="16">
        <v>0.15</v>
      </c>
      <c r="G25" s="1" t="s">
        <v>2016</v>
      </c>
      <c r="H25" s="1" t="s">
        <v>2017</v>
      </c>
    </row>
    <row r="26" spans="5:8" x14ac:dyDescent="0.2">
      <c r="E26" s="1" t="s">
        <v>1987</v>
      </c>
      <c r="F26" s="16">
        <v>0.15</v>
      </c>
      <c r="G26" s="1" t="s">
        <v>2018</v>
      </c>
      <c r="H26" s="1" t="s">
        <v>2019</v>
      </c>
    </row>
    <row r="27" spans="5:8" x14ac:dyDescent="0.2">
      <c r="E27" s="1" t="s">
        <v>2</v>
      </c>
      <c r="F27" s="16">
        <v>0.15</v>
      </c>
      <c r="G27" s="1" t="s">
        <v>2020</v>
      </c>
      <c r="H27" s="1" t="s">
        <v>2021</v>
      </c>
    </row>
    <row r="28" spans="5:8" x14ac:dyDescent="0.2">
      <c r="E28" s="1" t="s">
        <v>2022</v>
      </c>
      <c r="F28" s="16">
        <v>0.15</v>
      </c>
      <c r="G28" s="1" t="s">
        <v>2023</v>
      </c>
      <c r="H28" s="1" t="s">
        <v>2024</v>
      </c>
    </row>
    <row r="29" spans="5:8" x14ac:dyDescent="0.2">
      <c r="E29" s="1"/>
      <c r="F29" s="1"/>
      <c r="G29" s="1"/>
      <c r="H29" s="1"/>
    </row>
    <row r="30" spans="5:8" ht="15.5" customHeight="1" x14ac:dyDescent="0.2">
      <c r="E30" s="17" t="s">
        <v>2025</v>
      </c>
      <c r="F30" s="15"/>
      <c r="G30" s="15"/>
      <c r="H30" s="15"/>
    </row>
    <row r="31" spans="5:8" x14ac:dyDescent="0.2">
      <c r="E31" s="12" t="s">
        <v>82</v>
      </c>
      <c r="F31" s="12" t="s">
        <v>341</v>
      </c>
      <c r="G31" s="12" t="s">
        <v>931</v>
      </c>
      <c r="H31" s="12" t="s">
        <v>1</v>
      </c>
    </row>
    <row r="32" spans="5:8" x14ac:dyDescent="0.2">
      <c r="E32" s="1" t="s">
        <v>933</v>
      </c>
      <c r="F32" s="16">
        <v>0.15</v>
      </c>
      <c r="G32" s="1" t="s">
        <v>964</v>
      </c>
      <c r="H32" s="1" t="s">
        <v>2026</v>
      </c>
    </row>
    <row r="33" spans="5:8" x14ac:dyDescent="0.2">
      <c r="E33" s="1" t="s">
        <v>1421</v>
      </c>
      <c r="F33" s="16">
        <v>0.2</v>
      </c>
      <c r="G33" s="1" t="s">
        <v>2027</v>
      </c>
      <c r="H33" s="1" t="s">
        <v>2028</v>
      </c>
    </row>
    <row r="34" spans="5:8" x14ac:dyDescent="0.2">
      <c r="E34" s="1" t="s">
        <v>2029</v>
      </c>
      <c r="F34" s="16">
        <v>0.2</v>
      </c>
      <c r="G34" s="1" t="s">
        <v>2030</v>
      </c>
      <c r="H34" s="1" t="s">
        <v>2031</v>
      </c>
    </row>
    <row r="35" spans="5:8" x14ac:dyDescent="0.2">
      <c r="E35" s="1" t="s">
        <v>2032</v>
      </c>
      <c r="F35" s="16">
        <v>0.15</v>
      </c>
      <c r="G35" s="1" t="s">
        <v>2033</v>
      </c>
      <c r="H35" s="1" t="s">
        <v>2034</v>
      </c>
    </row>
    <row r="36" spans="5:8" x14ac:dyDescent="0.2">
      <c r="E36" s="1" t="s">
        <v>2035</v>
      </c>
      <c r="F36" s="16">
        <v>0.15</v>
      </c>
      <c r="G36" s="1" t="s">
        <v>2036</v>
      </c>
      <c r="H36" s="1" t="s">
        <v>2037</v>
      </c>
    </row>
    <row r="37" spans="5:8" x14ac:dyDescent="0.2">
      <c r="E37" s="1" t="s">
        <v>2</v>
      </c>
      <c r="F37" s="16">
        <v>0.15</v>
      </c>
      <c r="G37" s="1" t="s">
        <v>1040</v>
      </c>
      <c r="H37" s="1" t="s">
        <v>2038</v>
      </c>
    </row>
    <row r="38" spans="5:8" x14ac:dyDescent="0.2">
      <c r="E38" s="1"/>
      <c r="F38" s="1"/>
      <c r="G38" s="1"/>
      <c r="H38" s="1"/>
    </row>
    <row r="39" spans="5:8" ht="15.5" customHeight="1" x14ac:dyDescent="0.2">
      <c r="E39" s="17" t="s">
        <v>2039</v>
      </c>
      <c r="F39" s="15"/>
      <c r="G39" s="15"/>
      <c r="H39" s="15"/>
    </row>
    <row r="40" spans="5:8" x14ac:dyDescent="0.2">
      <c r="E40" s="12" t="s">
        <v>82</v>
      </c>
      <c r="F40" s="12" t="s">
        <v>341</v>
      </c>
      <c r="G40" s="12" t="s">
        <v>931</v>
      </c>
      <c r="H40" s="12" t="s">
        <v>1</v>
      </c>
    </row>
    <row r="41" spans="5:8" x14ac:dyDescent="0.2">
      <c r="E41" s="1" t="s">
        <v>2040</v>
      </c>
      <c r="F41" s="16">
        <v>0.2</v>
      </c>
      <c r="G41" s="1" t="s">
        <v>2041</v>
      </c>
      <c r="H41" s="1" t="s">
        <v>2042</v>
      </c>
    </row>
    <row r="42" spans="5:8" x14ac:dyDescent="0.2">
      <c r="E42" s="1" t="s">
        <v>937</v>
      </c>
      <c r="F42" s="16">
        <v>0.2</v>
      </c>
      <c r="G42" s="1" t="s">
        <v>2020</v>
      </c>
      <c r="H42" s="1" t="s">
        <v>2043</v>
      </c>
    </row>
    <row r="43" spans="5:8" x14ac:dyDescent="0.2">
      <c r="E43" s="1" t="s">
        <v>2044</v>
      </c>
      <c r="F43" s="16">
        <v>0.2</v>
      </c>
      <c r="G43" s="1" t="s">
        <v>2045</v>
      </c>
      <c r="H43" s="1" t="s">
        <v>2046</v>
      </c>
    </row>
    <row r="44" spans="5:8" x14ac:dyDescent="0.2">
      <c r="E44" s="1" t="s">
        <v>2047</v>
      </c>
      <c r="F44" s="16">
        <v>0.15</v>
      </c>
      <c r="G44" s="1" t="s">
        <v>2048</v>
      </c>
      <c r="H44" s="1" t="s">
        <v>2049</v>
      </c>
    </row>
    <row r="45" spans="5:8" x14ac:dyDescent="0.2">
      <c r="E45" s="1" t="s">
        <v>2050</v>
      </c>
      <c r="F45" s="16">
        <v>0.15</v>
      </c>
      <c r="G45" s="1" t="s">
        <v>2051</v>
      </c>
      <c r="H45" s="1" t="s">
        <v>2052</v>
      </c>
    </row>
    <row r="46" spans="5:8" x14ac:dyDescent="0.2">
      <c r="E46" s="1" t="s">
        <v>1956</v>
      </c>
      <c r="F46" s="16">
        <v>0.1</v>
      </c>
      <c r="G46" s="1" t="s">
        <v>2053</v>
      </c>
      <c r="H46" s="1" t="s">
        <v>2054</v>
      </c>
    </row>
    <row r="47" spans="5:8" x14ac:dyDescent="0.2">
      <c r="E47" s="1"/>
      <c r="F47" s="1"/>
      <c r="G47" s="1"/>
      <c r="H47" s="1"/>
    </row>
    <row r="48" spans="5:8" ht="15.5" customHeight="1" x14ac:dyDescent="0.2">
      <c r="E48" s="17" t="s">
        <v>2055</v>
      </c>
      <c r="F48" s="15"/>
      <c r="G48" s="15"/>
      <c r="H48" s="15"/>
    </row>
    <row r="49" spans="5:8" x14ac:dyDescent="0.2">
      <c r="E49" s="12" t="s">
        <v>82</v>
      </c>
      <c r="F49" s="12" t="s">
        <v>341</v>
      </c>
      <c r="G49" s="12" t="s">
        <v>931</v>
      </c>
      <c r="H49" s="12" t="s">
        <v>1</v>
      </c>
    </row>
    <row r="50" spans="5:8" x14ac:dyDescent="0.2">
      <c r="E50" s="1" t="s">
        <v>933</v>
      </c>
      <c r="F50" s="16">
        <v>0.15</v>
      </c>
      <c r="G50" s="1" t="s">
        <v>934</v>
      </c>
      <c r="H50" s="1" t="s">
        <v>2056</v>
      </c>
    </row>
    <row r="51" spans="5:8" x14ac:dyDescent="0.2">
      <c r="E51" s="1" t="s">
        <v>937</v>
      </c>
      <c r="F51" s="16">
        <v>0.2</v>
      </c>
      <c r="G51" s="1" t="s">
        <v>1011</v>
      </c>
      <c r="H51" s="1" t="s">
        <v>2057</v>
      </c>
    </row>
    <row r="52" spans="5:8" x14ac:dyDescent="0.2">
      <c r="E52" s="1" t="s">
        <v>2058</v>
      </c>
      <c r="F52" s="16">
        <v>0.2</v>
      </c>
      <c r="G52" s="1" t="s">
        <v>2059</v>
      </c>
      <c r="H52" s="1" t="s">
        <v>2060</v>
      </c>
    </row>
    <row r="53" spans="5:8" x14ac:dyDescent="0.2">
      <c r="E53" s="1" t="s">
        <v>1130</v>
      </c>
      <c r="F53" s="16">
        <v>0.15</v>
      </c>
      <c r="G53" s="1" t="s">
        <v>2061</v>
      </c>
      <c r="H53" s="1" t="s">
        <v>2062</v>
      </c>
    </row>
    <row r="54" spans="5:8" x14ac:dyDescent="0.2">
      <c r="E54" s="1" t="s">
        <v>2063</v>
      </c>
      <c r="F54" s="16">
        <v>0.15</v>
      </c>
      <c r="G54" s="1" t="s">
        <v>2064</v>
      </c>
      <c r="H54" s="1" t="s">
        <v>2065</v>
      </c>
    </row>
    <row r="55" spans="5:8" x14ac:dyDescent="0.2">
      <c r="E55" s="1" t="s">
        <v>2</v>
      </c>
      <c r="F55" s="16">
        <v>0.15</v>
      </c>
      <c r="G55" s="1" t="s">
        <v>949</v>
      </c>
      <c r="H55" s="1" t="s">
        <v>2066</v>
      </c>
    </row>
    <row r="56" spans="5:8" x14ac:dyDescent="0.2">
      <c r="E56" s="1"/>
      <c r="F56" s="1"/>
      <c r="G56" s="1"/>
      <c r="H56" s="1"/>
    </row>
    <row r="57" spans="5:8" ht="15.5" customHeight="1" x14ac:dyDescent="0.2">
      <c r="E57" s="17" t="s">
        <v>2067</v>
      </c>
      <c r="F57" s="15"/>
      <c r="G57" s="15"/>
      <c r="H57" s="15"/>
    </row>
    <row r="58" spans="5:8" x14ac:dyDescent="0.2">
      <c r="E58" s="12" t="s">
        <v>82</v>
      </c>
      <c r="F58" s="12" t="s">
        <v>341</v>
      </c>
      <c r="G58" s="12" t="s">
        <v>931</v>
      </c>
      <c r="H58" s="12" t="s">
        <v>1</v>
      </c>
    </row>
    <row r="59" spans="5:8" x14ac:dyDescent="0.2">
      <c r="E59" s="1" t="s">
        <v>933</v>
      </c>
      <c r="F59" s="16">
        <v>0.2</v>
      </c>
      <c r="G59" s="1" t="s">
        <v>934</v>
      </c>
      <c r="H59" s="1" t="s">
        <v>2068</v>
      </c>
    </row>
    <row r="60" spans="5:8" x14ac:dyDescent="0.2">
      <c r="E60" s="1" t="s">
        <v>1421</v>
      </c>
      <c r="F60" s="16">
        <v>0.2</v>
      </c>
      <c r="G60" s="1" t="s">
        <v>1979</v>
      </c>
      <c r="H60" s="1" t="s">
        <v>2069</v>
      </c>
    </row>
    <row r="61" spans="5:8" x14ac:dyDescent="0.2">
      <c r="E61" s="1" t="s">
        <v>1045</v>
      </c>
      <c r="F61" s="16">
        <v>0.15</v>
      </c>
      <c r="G61" s="1" t="s">
        <v>2070</v>
      </c>
      <c r="H61" s="1" t="s">
        <v>2071</v>
      </c>
    </row>
    <row r="62" spans="5:8" x14ac:dyDescent="0.2">
      <c r="E62" s="1" t="s">
        <v>2072</v>
      </c>
      <c r="F62" s="16">
        <v>0.15</v>
      </c>
      <c r="G62" s="1" t="s">
        <v>2073</v>
      </c>
      <c r="H62" s="1" t="s">
        <v>2074</v>
      </c>
    </row>
    <row r="63" spans="5:8" x14ac:dyDescent="0.2">
      <c r="E63" s="1" t="s">
        <v>937</v>
      </c>
      <c r="F63" s="16">
        <v>0.15</v>
      </c>
      <c r="G63" s="1" t="s">
        <v>982</v>
      </c>
      <c r="H63" s="1" t="s">
        <v>2075</v>
      </c>
    </row>
    <row r="64" spans="5:8" x14ac:dyDescent="0.2">
      <c r="E64" s="1" t="s">
        <v>2</v>
      </c>
      <c r="F64" s="16">
        <v>0.15</v>
      </c>
      <c r="G64" s="1" t="s">
        <v>2076</v>
      </c>
      <c r="H64" s="1" t="s">
        <v>2077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H167"/>
  <sheetViews>
    <sheetView topLeftCell="C19" zoomScale="75" workbookViewId="0">
      <selection activeCell="H32" sqref="H32"/>
    </sheetView>
  </sheetViews>
  <sheetFormatPr baseColWidth="10" defaultColWidth="8.83203125" defaultRowHeight="15" x14ac:dyDescent="0.2"/>
  <cols>
    <col min="1" max="1" width="2.5" customWidth="1"/>
    <col min="2" max="2" width="8.6640625" customWidth="1"/>
    <col min="3" max="3" width="34.6640625" bestFit="1" customWidth="1"/>
    <col min="4" max="4" width="10.6640625" bestFit="1" customWidth="1"/>
    <col min="5" max="5" width="38.83203125" bestFit="1" customWidth="1"/>
    <col min="6" max="6" width="6.83203125" bestFit="1" customWidth="1"/>
    <col min="7" max="7" width="38.33203125" bestFit="1" customWidth="1"/>
    <col min="8" max="8" width="183.6640625" customWidth="1"/>
  </cols>
  <sheetData>
    <row r="2" spans="2:8" ht="17.5" customHeight="1" x14ac:dyDescent="0.2">
      <c r="B2" s="2" t="s">
        <v>81</v>
      </c>
      <c r="C2" s="4" t="s">
        <v>2078</v>
      </c>
    </row>
    <row r="3" spans="2:8" ht="16" x14ac:dyDescent="0.2">
      <c r="B3" s="1">
        <v>1</v>
      </c>
      <c r="C3" s="5" t="s">
        <v>2079</v>
      </c>
      <c r="E3" s="8" t="s">
        <v>930</v>
      </c>
      <c r="F3" s="8" t="s">
        <v>341</v>
      </c>
      <c r="G3" s="8" t="s">
        <v>931</v>
      </c>
      <c r="H3" s="8" t="s">
        <v>1</v>
      </c>
    </row>
    <row r="4" spans="2:8" ht="16" x14ac:dyDescent="0.2">
      <c r="B4" s="1">
        <v>2</v>
      </c>
      <c r="C4" s="5" t="s">
        <v>2080</v>
      </c>
      <c r="E4" s="9" t="s">
        <v>121</v>
      </c>
      <c r="F4" s="10">
        <v>0.2</v>
      </c>
      <c r="G4" s="13" t="s">
        <v>974</v>
      </c>
      <c r="H4" s="9" t="s">
        <v>2081</v>
      </c>
    </row>
    <row r="5" spans="2:8" ht="16" x14ac:dyDescent="0.2">
      <c r="B5" s="1">
        <v>3</v>
      </c>
      <c r="C5" s="5" t="s">
        <v>2082</v>
      </c>
      <c r="E5" s="9" t="s">
        <v>243</v>
      </c>
      <c r="F5" s="10">
        <v>0.15</v>
      </c>
      <c r="G5" s="13" t="s">
        <v>2083</v>
      </c>
      <c r="H5" s="9" t="s">
        <v>2084</v>
      </c>
    </row>
    <row r="6" spans="2:8" ht="16" x14ac:dyDescent="0.2">
      <c r="B6" s="1">
        <v>4</v>
      </c>
      <c r="C6" s="5" t="s">
        <v>2085</v>
      </c>
      <c r="E6" s="9" t="s">
        <v>2086</v>
      </c>
      <c r="F6" s="10">
        <v>0.2</v>
      </c>
      <c r="G6" s="13" t="s">
        <v>2087</v>
      </c>
      <c r="H6" s="9" t="s">
        <v>2088</v>
      </c>
    </row>
    <row r="7" spans="2:8" ht="16" x14ac:dyDescent="0.2">
      <c r="B7" s="1">
        <v>5</v>
      </c>
      <c r="C7" s="5" t="s">
        <v>2089</v>
      </c>
      <c r="E7" s="9" t="s">
        <v>2090</v>
      </c>
      <c r="F7" s="10">
        <v>0.15</v>
      </c>
      <c r="G7" s="13" t="s">
        <v>2091</v>
      </c>
      <c r="H7" s="9" t="s">
        <v>2092</v>
      </c>
    </row>
    <row r="8" spans="2:8" ht="16" x14ac:dyDescent="0.2">
      <c r="B8" s="1">
        <v>6</v>
      </c>
      <c r="C8" s="5" t="s">
        <v>2093</v>
      </c>
      <c r="E8" s="9" t="s">
        <v>2094</v>
      </c>
      <c r="F8" s="10">
        <v>0.05</v>
      </c>
      <c r="G8" s="13" t="s">
        <v>1408</v>
      </c>
      <c r="H8" s="9" t="s">
        <v>2095</v>
      </c>
    </row>
    <row r="9" spans="2:8" ht="16" x14ac:dyDescent="0.2">
      <c r="B9" s="1">
        <v>7</v>
      </c>
      <c r="C9" s="5" t="s">
        <v>2096</v>
      </c>
      <c r="E9" s="9" t="s">
        <v>2097</v>
      </c>
      <c r="F9" s="10">
        <v>0.1</v>
      </c>
      <c r="G9" s="13" t="s">
        <v>2098</v>
      </c>
      <c r="H9" s="9" t="s">
        <v>2099</v>
      </c>
    </row>
    <row r="10" spans="2:8" ht="16" x14ac:dyDescent="0.2">
      <c r="B10" s="1">
        <v>8</v>
      </c>
      <c r="C10" s="5" t="s">
        <v>2100</v>
      </c>
      <c r="E10" s="9" t="s">
        <v>2101</v>
      </c>
      <c r="F10" s="10">
        <v>0.05</v>
      </c>
      <c r="G10" s="13" t="s">
        <v>2102</v>
      </c>
      <c r="H10" s="9" t="s">
        <v>2103</v>
      </c>
    </row>
    <row r="11" spans="2:8" ht="16" x14ac:dyDescent="0.2">
      <c r="B11" s="1">
        <v>9</v>
      </c>
      <c r="C11" s="5" t="s">
        <v>2104</v>
      </c>
      <c r="E11" s="9" t="s">
        <v>2105</v>
      </c>
      <c r="F11" s="10">
        <v>0.1</v>
      </c>
      <c r="G11" s="13" t="s">
        <v>2106</v>
      </c>
      <c r="H11" s="9" t="s">
        <v>2107</v>
      </c>
    </row>
    <row r="12" spans="2:8" x14ac:dyDescent="0.2">
      <c r="B12" s="1">
        <v>10</v>
      </c>
      <c r="C12" s="5" t="s">
        <v>2108</v>
      </c>
      <c r="E12" s="3"/>
      <c r="F12" s="82"/>
      <c r="G12" s="83"/>
      <c r="H12" s="3"/>
    </row>
    <row r="13" spans="2:8" x14ac:dyDescent="0.2">
      <c r="B13" s="1">
        <v>11</v>
      </c>
      <c r="C13" s="5" t="s">
        <v>2109</v>
      </c>
    </row>
    <row r="14" spans="2:8" ht="15.5" customHeight="1" x14ac:dyDescent="0.2">
      <c r="B14" s="1">
        <v>12</v>
      </c>
      <c r="C14" s="5" t="s">
        <v>2110</v>
      </c>
      <c r="E14" s="18" t="s">
        <v>2111</v>
      </c>
      <c r="F14" s="15"/>
      <c r="G14" s="15"/>
      <c r="H14" s="15"/>
    </row>
    <row r="15" spans="2:8" ht="16" x14ac:dyDescent="0.2">
      <c r="B15" s="1">
        <v>13</v>
      </c>
      <c r="C15" s="5" t="s">
        <v>2112</v>
      </c>
      <c r="E15" s="12" t="s">
        <v>82</v>
      </c>
      <c r="F15" s="12"/>
      <c r="G15" s="12" t="s">
        <v>931</v>
      </c>
      <c r="H15" s="8" t="s">
        <v>1</v>
      </c>
    </row>
    <row r="16" spans="2:8" x14ac:dyDescent="0.2">
      <c r="B16" s="1">
        <v>14</v>
      </c>
      <c r="C16" s="5" t="s">
        <v>2113</v>
      </c>
      <c r="E16" s="11" t="s">
        <v>121</v>
      </c>
      <c r="F16" s="26">
        <v>0.2</v>
      </c>
      <c r="G16" s="11" t="s">
        <v>974</v>
      </c>
      <c r="H16" s="1" t="s">
        <v>2114</v>
      </c>
    </row>
    <row r="17" spans="2:8" x14ac:dyDescent="0.2">
      <c r="B17" s="1">
        <v>15</v>
      </c>
      <c r="C17" s="5" t="s">
        <v>2115</v>
      </c>
      <c r="E17" s="11" t="s">
        <v>243</v>
      </c>
      <c r="F17" s="26">
        <v>0.15</v>
      </c>
      <c r="G17" s="11" t="s">
        <v>2116</v>
      </c>
      <c r="H17" s="1" t="s">
        <v>2117</v>
      </c>
    </row>
    <row r="18" spans="2:8" x14ac:dyDescent="0.2">
      <c r="B18" s="1">
        <v>16</v>
      </c>
      <c r="C18" s="1" t="s">
        <v>2118</v>
      </c>
      <c r="E18" s="11" t="s">
        <v>2119</v>
      </c>
      <c r="F18" s="26">
        <v>0.15</v>
      </c>
      <c r="G18" s="11" t="s">
        <v>2120</v>
      </c>
      <c r="H18" s="1" t="s">
        <v>2121</v>
      </c>
    </row>
    <row r="19" spans="2:8" x14ac:dyDescent="0.2">
      <c r="E19" s="1" t="s">
        <v>248</v>
      </c>
      <c r="F19" s="16">
        <v>0.15</v>
      </c>
      <c r="G19" s="11" t="s">
        <v>1422</v>
      </c>
      <c r="H19" s="1" t="s">
        <v>2122</v>
      </c>
    </row>
    <row r="20" spans="2:8" x14ac:dyDescent="0.2">
      <c r="E20" s="1" t="s">
        <v>2123</v>
      </c>
      <c r="F20" s="16">
        <v>0.1</v>
      </c>
      <c r="G20" s="11" t="s">
        <v>1517</v>
      </c>
      <c r="H20" s="1" t="s">
        <v>2124</v>
      </c>
    </row>
    <row r="21" spans="2:8" x14ac:dyDescent="0.2">
      <c r="E21" s="1" t="s">
        <v>2094</v>
      </c>
      <c r="F21" s="16">
        <v>0.1</v>
      </c>
      <c r="G21" s="11" t="s">
        <v>2125</v>
      </c>
      <c r="H21" s="1" t="s">
        <v>2126</v>
      </c>
    </row>
    <row r="22" spans="2:8" x14ac:dyDescent="0.2">
      <c r="E22" s="1" t="s">
        <v>263</v>
      </c>
      <c r="F22" s="16">
        <v>0.1</v>
      </c>
      <c r="G22" s="11" t="s">
        <v>2127</v>
      </c>
      <c r="H22" s="1" t="s">
        <v>2128</v>
      </c>
    </row>
    <row r="23" spans="2:8" x14ac:dyDescent="0.2">
      <c r="E23" s="1" t="s">
        <v>257</v>
      </c>
      <c r="F23" s="16">
        <v>0.05</v>
      </c>
      <c r="G23" s="11" t="s">
        <v>1829</v>
      </c>
      <c r="H23" s="1" t="s">
        <v>2129</v>
      </c>
    </row>
    <row r="25" spans="2:8" ht="15.5" customHeight="1" x14ac:dyDescent="0.2">
      <c r="E25" s="17" t="s">
        <v>2130</v>
      </c>
      <c r="F25" s="15"/>
      <c r="G25" s="15"/>
      <c r="H25" s="15"/>
    </row>
    <row r="26" spans="2:8" x14ac:dyDescent="0.2">
      <c r="E26" s="12" t="s">
        <v>82</v>
      </c>
      <c r="F26" s="12" t="s">
        <v>341</v>
      </c>
      <c r="G26" s="19" t="s">
        <v>931</v>
      </c>
      <c r="H26" s="12" t="s">
        <v>1</v>
      </c>
    </row>
    <row r="27" spans="2:8" x14ac:dyDescent="0.2">
      <c r="E27" s="1" t="s">
        <v>2131</v>
      </c>
      <c r="F27" s="16">
        <v>0.2</v>
      </c>
      <c r="G27" s="1" t="s">
        <v>2132</v>
      </c>
      <c r="H27" s="1" t="s">
        <v>2133</v>
      </c>
    </row>
    <row r="28" spans="2:8" x14ac:dyDescent="0.2">
      <c r="E28" s="1" t="s">
        <v>2134</v>
      </c>
      <c r="F28" s="16">
        <v>0.2</v>
      </c>
      <c r="G28" s="1" t="s">
        <v>1001</v>
      </c>
      <c r="H28" s="1" t="s">
        <v>2135</v>
      </c>
    </row>
    <row r="29" spans="2:8" x14ac:dyDescent="0.2">
      <c r="E29" s="1" t="s">
        <v>2136</v>
      </c>
      <c r="F29" s="16">
        <v>0.15</v>
      </c>
      <c r="G29" s="1" t="s">
        <v>2137</v>
      </c>
      <c r="H29" s="1" t="s">
        <v>2138</v>
      </c>
    </row>
    <row r="30" spans="2:8" x14ac:dyDescent="0.2">
      <c r="E30" s="1" t="s">
        <v>2139</v>
      </c>
      <c r="F30" s="16">
        <v>0.15</v>
      </c>
      <c r="G30" s="1" t="s">
        <v>1078</v>
      </c>
      <c r="H30" s="1" t="s">
        <v>2140</v>
      </c>
    </row>
    <row r="31" spans="2:8" x14ac:dyDescent="0.2">
      <c r="E31" s="1" t="s">
        <v>2141</v>
      </c>
      <c r="F31" s="16">
        <v>0.1</v>
      </c>
      <c r="G31" s="1" t="s">
        <v>2142</v>
      </c>
      <c r="H31" s="1" t="s">
        <v>2143</v>
      </c>
    </row>
    <row r="32" spans="2:8" x14ac:dyDescent="0.2">
      <c r="E32" s="1" t="s">
        <v>2144</v>
      </c>
      <c r="F32" s="16">
        <v>0.1</v>
      </c>
      <c r="G32" s="1" t="s">
        <v>1078</v>
      </c>
      <c r="H32" s="1" t="s">
        <v>2145</v>
      </c>
    </row>
    <row r="33" spans="5:8" x14ac:dyDescent="0.2">
      <c r="E33" s="1" t="s">
        <v>2146</v>
      </c>
      <c r="F33" s="16">
        <v>0.1</v>
      </c>
      <c r="G33" s="1" t="s">
        <v>2147</v>
      </c>
      <c r="H33" s="1" t="s">
        <v>2148</v>
      </c>
    </row>
    <row r="35" spans="5:8" ht="15.5" customHeight="1" x14ac:dyDescent="0.2">
      <c r="E35" s="17" t="s">
        <v>2149</v>
      </c>
      <c r="F35" s="15"/>
      <c r="G35" s="15"/>
      <c r="H35" s="15"/>
    </row>
    <row r="36" spans="5:8" x14ac:dyDescent="0.2">
      <c r="E36" s="12" t="s">
        <v>82</v>
      </c>
      <c r="F36" s="12" t="s">
        <v>341</v>
      </c>
      <c r="G36" s="12" t="s">
        <v>931</v>
      </c>
      <c r="H36" s="12" t="s">
        <v>1</v>
      </c>
    </row>
    <row r="37" spans="5:8" x14ac:dyDescent="0.2">
      <c r="E37" s="1" t="s">
        <v>2150</v>
      </c>
      <c r="F37" s="16">
        <v>0.15</v>
      </c>
      <c r="G37" s="1" t="s">
        <v>974</v>
      </c>
      <c r="H37" s="1" t="s">
        <v>2151</v>
      </c>
    </row>
    <row r="38" spans="5:8" x14ac:dyDescent="0.2">
      <c r="E38" s="1" t="s">
        <v>2152</v>
      </c>
      <c r="F38" s="16">
        <v>0.15</v>
      </c>
      <c r="G38" s="1" t="s">
        <v>2153</v>
      </c>
      <c r="H38" s="1" t="s">
        <v>2154</v>
      </c>
    </row>
    <row r="39" spans="5:8" x14ac:dyDescent="0.2">
      <c r="E39" s="1" t="s">
        <v>2155</v>
      </c>
      <c r="F39" s="16">
        <v>0.2</v>
      </c>
      <c r="G39" s="1" t="s">
        <v>2156</v>
      </c>
      <c r="H39" s="1" t="s">
        <v>2157</v>
      </c>
    </row>
    <row r="40" spans="5:8" x14ac:dyDescent="0.2">
      <c r="E40" s="1" t="s">
        <v>2158</v>
      </c>
      <c r="F40" s="16">
        <v>0.15</v>
      </c>
      <c r="G40" s="1" t="s">
        <v>2159</v>
      </c>
      <c r="H40" s="1" t="s">
        <v>2160</v>
      </c>
    </row>
    <row r="41" spans="5:8" x14ac:dyDescent="0.2">
      <c r="E41" s="1" t="s">
        <v>2161</v>
      </c>
      <c r="F41" s="16">
        <v>0.1</v>
      </c>
      <c r="G41" s="1" t="s">
        <v>2162</v>
      </c>
      <c r="H41" s="1" t="s">
        <v>2163</v>
      </c>
    </row>
    <row r="42" spans="5:8" x14ac:dyDescent="0.2">
      <c r="E42" s="1" t="s">
        <v>2164</v>
      </c>
      <c r="F42" s="16">
        <v>0.1</v>
      </c>
      <c r="G42" s="1" t="s">
        <v>1857</v>
      </c>
      <c r="H42" s="1" t="s">
        <v>2165</v>
      </c>
    </row>
    <row r="43" spans="5:8" x14ac:dyDescent="0.2">
      <c r="E43" s="1" t="s">
        <v>2166</v>
      </c>
      <c r="F43" s="16">
        <v>0.05</v>
      </c>
      <c r="G43" s="1" t="s">
        <v>2167</v>
      </c>
      <c r="H43" s="1" t="s">
        <v>2168</v>
      </c>
    </row>
    <row r="44" spans="5:8" x14ac:dyDescent="0.2">
      <c r="E44" s="1" t="s">
        <v>2169</v>
      </c>
      <c r="F44" s="16">
        <v>0.1</v>
      </c>
      <c r="G44" s="1" t="s">
        <v>982</v>
      </c>
      <c r="H44" s="1" t="s">
        <v>2170</v>
      </c>
    </row>
    <row r="46" spans="5:8" ht="15.5" customHeight="1" x14ac:dyDescent="0.2">
      <c r="E46" s="17" t="s">
        <v>2171</v>
      </c>
      <c r="F46" s="15"/>
      <c r="G46" s="15"/>
      <c r="H46" s="15"/>
    </row>
    <row r="47" spans="5:8" x14ac:dyDescent="0.2">
      <c r="E47" s="12" t="s">
        <v>82</v>
      </c>
      <c r="F47" s="12" t="s">
        <v>341</v>
      </c>
      <c r="G47" s="12" t="s">
        <v>931</v>
      </c>
      <c r="H47" s="12" t="s">
        <v>1</v>
      </c>
    </row>
    <row r="48" spans="5:8" x14ac:dyDescent="0.2">
      <c r="E48" s="1" t="s">
        <v>2172</v>
      </c>
      <c r="F48" s="16">
        <v>0.2</v>
      </c>
      <c r="G48" s="1" t="s">
        <v>2173</v>
      </c>
      <c r="H48" s="1" t="s">
        <v>2174</v>
      </c>
    </row>
    <row r="49" spans="5:8" x14ac:dyDescent="0.2">
      <c r="E49" s="1" t="s">
        <v>2155</v>
      </c>
      <c r="F49" s="16">
        <v>0.2</v>
      </c>
      <c r="G49" s="1" t="s">
        <v>2175</v>
      </c>
      <c r="H49" s="1" t="s">
        <v>2176</v>
      </c>
    </row>
    <row r="50" spans="5:8" x14ac:dyDescent="0.2">
      <c r="E50" s="1" t="s">
        <v>2177</v>
      </c>
      <c r="F50" s="16">
        <v>0.15</v>
      </c>
      <c r="G50" s="1" t="s">
        <v>1515</v>
      </c>
      <c r="H50" s="1" t="s">
        <v>2178</v>
      </c>
    </row>
    <row r="51" spans="5:8" x14ac:dyDescent="0.2">
      <c r="E51" s="1" t="s">
        <v>2150</v>
      </c>
      <c r="F51" s="16">
        <v>0.15</v>
      </c>
      <c r="G51" s="1" t="s">
        <v>966</v>
      </c>
      <c r="H51" s="1" t="s">
        <v>2179</v>
      </c>
    </row>
    <row r="52" spans="5:8" x14ac:dyDescent="0.2">
      <c r="E52" s="1" t="s">
        <v>2180</v>
      </c>
      <c r="F52" s="16">
        <v>0.1</v>
      </c>
      <c r="G52" s="1" t="s">
        <v>2181</v>
      </c>
      <c r="H52" s="1" t="s">
        <v>2182</v>
      </c>
    </row>
    <row r="53" spans="5:8" x14ac:dyDescent="0.2">
      <c r="E53" s="1" t="s">
        <v>2183</v>
      </c>
      <c r="F53" s="16">
        <v>0.1</v>
      </c>
      <c r="G53" s="1" t="s">
        <v>2184</v>
      </c>
      <c r="H53" s="1" t="s">
        <v>2185</v>
      </c>
    </row>
    <row r="54" spans="5:8" x14ac:dyDescent="0.2">
      <c r="E54" s="1" t="s">
        <v>2186</v>
      </c>
      <c r="F54" s="16">
        <v>0.1</v>
      </c>
      <c r="G54" s="1" t="s">
        <v>2187</v>
      </c>
      <c r="H54" s="1" t="s">
        <v>2188</v>
      </c>
    </row>
    <row r="56" spans="5:8" ht="15.5" customHeight="1" x14ac:dyDescent="0.2">
      <c r="E56" s="17" t="s">
        <v>2189</v>
      </c>
      <c r="F56" s="15"/>
      <c r="G56" s="15"/>
      <c r="H56" s="15"/>
    </row>
    <row r="57" spans="5:8" x14ac:dyDescent="0.2">
      <c r="E57" s="12" t="s">
        <v>82</v>
      </c>
      <c r="F57" s="12" t="s">
        <v>341</v>
      </c>
      <c r="G57" s="12" t="s">
        <v>931</v>
      </c>
      <c r="H57" s="12" t="s">
        <v>1</v>
      </c>
    </row>
    <row r="58" spans="5:8" x14ac:dyDescent="0.2">
      <c r="E58" s="1" t="s">
        <v>933</v>
      </c>
      <c r="F58" s="16">
        <v>0.15</v>
      </c>
      <c r="G58" s="1" t="s">
        <v>1078</v>
      </c>
      <c r="H58" s="1" t="s">
        <v>2190</v>
      </c>
    </row>
    <row r="59" spans="5:8" x14ac:dyDescent="0.2">
      <c r="E59" s="1" t="s">
        <v>1870</v>
      </c>
      <c r="F59" s="16">
        <v>0.2</v>
      </c>
      <c r="G59" s="1" t="s">
        <v>2020</v>
      </c>
      <c r="H59" s="1" t="s">
        <v>2191</v>
      </c>
    </row>
    <row r="60" spans="5:8" x14ac:dyDescent="0.2">
      <c r="E60" s="1" t="s">
        <v>2</v>
      </c>
      <c r="F60" s="16">
        <v>0.15</v>
      </c>
      <c r="G60" s="1" t="s">
        <v>1175</v>
      </c>
      <c r="H60" s="1" t="s">
        <v>2192</v>
      </c>
    </row>
    <row r="61" spans="5:8" x14ac:dyDescent="0.2">
      <c r="E61" s="1" t="s">
        <v>2193</v>
      </c>
      <c r="F61" s="16">
        <v>0.2</v>
      </c>
      <c r="G61" s="1" t="s">
        <v>1355</v>
      </c>
      <c r="H61" s="1" t="s">
        <v>2194</v>
      </c>
    </row>
    <row r="62" spans="5:8" x14ac:dyDescent="0.2">
      <c r="E62" s="1" t="s">
        <v>1029</v>
      </c>
      <c r="F62" s="16">
        <v>0.1</v>
      </c>
      <c r="G62" s="1" t="s">
        <v>2195</v>
      </c>
      <c r="H62" s="1" t="s">
        <v>2196</v>
      </c>
    </row>
    <row r="63" spans="5:8" x14ac:dyDescent="0.2">
      <c r="E63" s="1" t="s">
        <v>2197</v>
      </c>
      <c r="F63" s="16">
        <v>0.1</v>
      </c>
      <c r="G63" s="1" t="s">
        <v>2198</v>
      </c>
      <c r="H63" s="1" t="s">
        <v>2199</v>
      </c>
    </row>
    <row r="64" spans="5:8" x14ac:dyDescent="0.2">
      <c r="E64" s="1" t="s">
        <v>2200</v>
      </c>
      <c r="F64" s="16">
        <v>0.1</v>
      </c>
      <c r="G64" s="1" t="s">
        <v>2201</v>
      </c>
      <c r="H64" s="1" t="s">
        <v>2202</v>
      </c>
    </row>
    <row r="66" spans="5:8" ht="15.5" customHeight="1" x14ac:dyDescent="0.2">
      <c r="E66" s="17" t="s">
        <v>2203</v>
      </c>
      <c r="F66" s="15"/>
      <c r="G66" s="15"/>
      <c r="H66" s="15"/>
    </row>
    <row r="67" spans="5:8" x14ac:dyDescent="0.2">
      <c r="E67" s="12" t="s">
        <v>82</v>
      </c>
      <c r="F67" s="12" t="s">
        <v>341</v>
      </c>
      <c r="G67" s="12" t="s">
        <v>931</v>
      </c>
      <c r="H67" s="12" t="s">
        <v>1</v>
      </c>
    </row>
    <row r="68" spans="5:8" x14ac:dyDescent="0.2">
      <c r="E68" s="1" t="s">
        <v>2164</v>
      </c>
      <c r="F68" s="16">
        <v>0.2</v>
      </c>
      <c r="G68" s="1" t="s">
        <v>1857</v>
      </c>
      <c r="H68" s="1" t="s">
        <v>2204</v>
      </c>
    </row>
    <row r="69" spans="5:8" x14ac:dyDescent="0.2">
      <c r="E69" s="1" t="s">
        <v>2205</v>
      </c>
      <c r="F69" s="16">
        <v>0.2</v>
      </c>
      <c r="G69" s="1" t="s">
        <v>2206</v>
      </c>
      <c r="H69" s="1" t="s">
        <v>2207</v>
      </c>
    </row>
    <row r="70" spans="5:8" x14ac:dyDescent="0.2">
      <c r="E70" s="1" t="s">
        <v>1870</v>
      </c>
      <c r="F70" s="16">
        <v>0.15</v>
      </c>
      <c r="G70" s="1" t="s">
        <v>1422</v>
      </c>
      <c r="H70" s="1" t="s">
        <v>2208</v>
      </c>
    </row>
    <row r="71" spans="5:8" x14ac:dyDescent="0.2">
      <c r="E71" s="1" t="s">
        <v>2209</v>
      </c>
      <c r="F71" s="16">
        <v>0.15</v>
      </c>
      <c r="G71" s="1" t="s">
        <v>2210</v>
      </c>
      <c r="H71" s="1" t="s">
        <v>2211</v>
      </c>
    </row>
    <row r="72" spans="5:8" x14ac:dyDescent="0.2">
      <c r="E72" s="1" t="s">
        <v>1354</v>
      </c>
      <c r="F72" s="16">
        <v>0.15</v>
      </c>
      <c r="G72" s="1" t="s">
        <v>2212</v>
      </c>
      <c r="H72" s="1" t="s">
        <v>2213</v>
      </c>
    </row>
    <row r="73" spans="5:8" x14ac:dyDescent="0.2">
      <c r="E73" s="1" t="s">
        <v>2214</v>
      </c>
      <c r="F73" s="16">
        <v>0.1</v>
      </c>
      <c r="G73" s="1" t="s">
        <v>2215</v>
      </c>
      <c r="H73" s="1" t="s">
        <v>2216</v>
      </c>
    </row>
    <row r="74" spans="5:8" x14ac:dyDescent="0.2">
      <c r="E74" s="1" t="s">
        <v>2217</v>
      </c>
      <c r="F74" s="16">
        <v>0.05</v>
      </c>
      <c r="G74" s="1" t="s">
        <v>1078</v>
      </c>
      <c r="H74" s="1" t="s">
        <v>2218</v>
      </c>
    </row>
    <row r="76" spans="5:8" ht="15.5" customHeight="1" x14ac:dyDescent="0.2">
      <c r="E76" s="17" t="s">
        <v>2219</v>
      </c>
      <c r="F76" s="15"/>
      <c r="G76" s="15"/>
      <c r="H76" s="15"/>
    </row>
    <row r="77" spans="5:8" x14ac:dyDescent="0.2">
      <c r="E77" s="12" t="s">
        <v>82</v>
      </c>
      <c r="F77" s="12" t="s">
        <v>341</v>
      </c>
      <c r="G77" s="12" t="s">
        <v>931</v>
      </c>
      <c r="H77" s="12" t="s">
        <v>1</v>
      </c>
    </row>
    <row r="78" spans="5:8" x14ac:dyDescent="0.2">
      <c r="E78" s="1" t="s">
        <v>2220</v>
      </c>
      <c r="F78" s="16">
        <v>0.2</v>
      </c>
      <c r="G78" s="1" t="s">
        <v>1078</v>
      </c>
      <c r="H78" s="1" t="s">
        <v>2221</v>
      </c>
    </row>
    <row r="79" spans="5:8" x14ac:dyDescent="0.2">
      <c r="E79" s="1" t="s">
        <v>2222</v>
      </c>
      <c r="F79" s="16">
        <v>0.2</v>
      </c>
      <c r="G79" s="1" t="s">
        <v>2223</v>
      </c>
      <c r="H79" s="1" t="s">
        <v>2224</v>
      </c>
    </row>
    <row r="80" spans="5:8" x14ac:dyDescent="0.2">
      <c r="E80" s="1" t="s">
        <v>1870</v>
      </c>
      <c r="F80" s="16">
        <v>0.15</v>
      </c>
      <c r="G80" s="1" t="s">
        <v>2020</v>
      </c>
      <c r="H80" s="1" t="s">
        <v>2225</v>
      </c>
    </row>
    <row r="81" spans="5:8" x14ac:dyDescent="0.2">
      <c r="E81" s="1" t="s">
        <v>2226</v>
      </c>
      <c r="F81" s="16">
        <v>0.15</v>
      </c>
      <c r="G81" s="1" t="s">
        <v>2227</v>
      </c>
      <c r="H81" s="1" t="s">
        <v>2228</v>
      </c>
    </row>
    <row r="82" spans="5:8" x14ac:dyDescent="0.2">
      <c r="E82" s="1" t="s">
        <v>2229</v>
      </c>
      <c r="F82" s="16">
        <v>0.1</v>
      </c>
      <c r="G82" s="1" t="s">
        <v>2230</v>
      </c>
      <c r="H82" s="1" t="s">
        <v>2231</v>
      </c>
    </row>
    <row r="83" spans="5:8" x14ac:dyDescent="0.2">
      <c r="E83" s="1" t="s">
        <v>2232</v>
      </c>
      <c r="F83" s="16">
        <v>0.1</v>
      </c>
      <c r="G83" s="1" t="s">
        <v>2233</v>
      </c>
      <c r="H83" s="1" t="s">
        <v>2234</v>
      </c>
    </row>
    <row r="84" spans="5:8" x14ac:dyDescent="0.2">
      <c r="E84" s="1" t="s">
        <v>2</v>
      </c>
      <c r="F84" s="16">
        <v>0.1</v>
      </c>
      <c r="G84" s="1" t="s">
        <v>1040</v>
      </c>
      <c r="H84" s="1" t="s">
        <v>2235</v>
      </c>
    </row>
    <row r="86" spans="5:8" ht="15.5" customHeight="1" x14ac:dyDescent="0.2">
      <c r="E86" s="17" t="s">
        <v>2236</v>
      </c>
      <c r="F86" s="15"/>
      <c r="G86" s="15"/>
      <c r="H86" s="15"/>
    </row>
    <row r="87" spans="5:8" x14ac:dyDescent="0.2">
      <c r="E87" s="12" t="s">
        <v>82</v>
      </c>
      <c r="F87" s="12" t="s">
        <v>341</v>
      </c>
      <c r="G87" s="12" t="s">
        <v>931</v>
      </c>
      <c r="H87" s="12" t="s">
        <v>1</v>
      </c>
    </row>
    <row r="88" spans="5:8" x14ac:dyDescent="0.2">
      <c r="E88" s="1" t="s">
        <v>2237</v>
      </c>
      <c r="F88" s="16">
        <v>0.2</v>
      </c>
      <c r="G88" s="1" t="s">
        <v>2238</v>
      </c>
      <c r="H88" s="1" t="s">
        <v>2239</v>
      </c>
    </row>
    <row r="89" spans="5:8" x14ac:dyDescent="0.2">
      <c r="E89" s="1" t="s">
        <v>1870</v>
      </c>
      <c r="F89" s="16">
        <v>0.2</v>
      </c>
      <c r="G89" s="1" t="s">
        <v>1979</v>
      </c>
      <c r="H89" s="1" t="s">
        <v>2240</v>
      </c>
    </row>
    <row r="90" spans="5:8" x14ac:dyDescent="0.2">
      <c r="E90" s="1" t="s">
        <v>1354</v>
      </c>
      <c r="F90" s="16">
        <v>0.2</v>
      </c>
      <c r="G90" s="1" t="s">
        <v>2241</v>
      </c>
      <c r="H90" s="1" t="s">
        <v>2242</v>
      </c>
    </row>
    <row r="91" spans="5:8" x14ac:dyDescent="0.2">
      <c r="E91" s="1" t="s">
        <v>1309</v>
      </c>
      <c r="F91" s="16">
        <v>0.15</v>
      </c>
      <c r="G91" s="1" t="s">
        <v>2243</v>
      </c>
      <c r="H91" s="1" t="s">
        <v>2244</v>
      </c>
    </row>
    <row r="92" spans="5:8" x14ac:dyDescent="0.2">
      <c r="E92" s="1" t="s">
        <v>2245</v>
      </c>
      <c r="F92" s="16">
        <v>0.1</v>
      </c>
      <c r="G92" s="1" t="s">
        <v>2246</v>
      </c>
      <c r="H92" s="1" t="s">
        <v>2247</v>
      </c>
    </row>
    <row r="93" spans="5:8" x14ac:dyDescent="0.2">
      <c r="E93" s="1" t="s">
        <v>2248</v>
      </c>
      <c r="F93" s="16">
        <v>0.15</v>
      </c>
      <c r="G93" s="1" t="s">
        <v>2249</v>
      </c>
      <c r="H93" s="1" t="s">
        <v>2250</v>
      </c>
    </row>
    <row r="95" spans="5:8" ht="15.5" customHeight="1" x14ac:dyDescent="0.2">
      <c r="E95" s="17" t="s">
        <v>2251</v>
      </c>
      <c r="F95" s="15"/>
      <c r="G95" s="15"/>
      <c r="H95" s="15"/>
    </row>
    <row r="96" spans="5:8" x14ac:dyDescent="0.2">
      <c r="E96" s="12" t="s">
        <v>82</v>
      </c>
      <c r="F96" s="12" t="s">
        <v>341</v>
      </c>
      <c r="G96" s="12" t="s">
        <v>931</v>
      </c>
      <c r="H96" s="12" t="s">
        <v>1</v>
      </c>
    </row>
    <row r="97" spans="5:8" x14ac:dyDescent="0.2">
      <c r="E97" s="1" t="s">
        <v>933</v>
      </c>
      <c r="F97" s="16">
        <v>0.2</v>
      </c>
      <c r="G97" s="1" t="s">
        <v>1078</v>
      </c>
      <c r="H97" s="1" t="s">
        <v>2252</v>
      </c>
    </row>
    <row r="98" spans="5:8" x14ac:dyDescent="0.2">
      <c r="E98" s="1" t="s">
        <v>1870</v>
      </c>
      <c r="F98" s="16">
        <v>0.2</v>
      </c>
      <c r="G98" s="1" t="s">
        <v>1422</v>
      </c>
      <c r="H98" s="1" t="s">
        <v>2253</v>
      </c>
    </row>
    <row r="99" spans="5:8" x14ac:dyDescent="0.2">
      <c r="E99" s="1" t="s">
        <v>2254</v>
      </c>
      <c r="F99" s="16">
        <v>0.2</v>
      </c>
      <c r="G99" s="1" t="s">
        <v>2255</v>
      </c>
      <c r="H99" s="1" t="s">
        <v>2256</v>
      </c>
    </row>
    <row r="100" spans="5:8" x14ac:dyDescent="0.2">
      <c r="E100" s="1" t="s">
        <v>2</v>
      </c>
      <c r="F100" s="16">
        <v>0.15</v>
      </c>
      <c r="G100" s="1" t="s">
        <v>1422</v>
      </c>
      <c r="H100" s="1" t="s">
        <v>2257</v>
      </c>
    </row>
    <row r="101" spans="5:8" x14ac:dyDescent="0.2">
      <c r="E101" s="1" t="s">
        <v>2258</v>
      </c>
      <c r="F101" s="16">
        <v>0.15</v>
      </c>
      <c r="G101" s="1" t="s">
        <v>2259</v>
      </c>
      <c r="H101" s="1" t="s">
        <v>2260</v>
      </c>
    </row>
    <row r="102" spans="5:8" x14ac:dyDescent="0.2">
      <c r="E102" s="1" t="s">
        <v>2261</v>
      </c>
      <c r="F102" s="16">
        <v>0.1</v>
      </c>
      <c r="G102" s="1" t="s">
        <v>2262</v>
      </c>
      <c r="H102" s="1" t="s">
        <v>2263</v>
      </c>
    </row>
    <row r="104" spans="5:8" ht="15.5" customHeight="1" x14ac:dyDescent="0.2">
      <c r="E104" s="17" t="s">
        <v>2264</v>
      </c>
      <c r="F104" s="15"/>
      <c r="G104" s="15"/>
      <c r="H104" s="15"/>
    </row>
    <row r="105" spans="5:8" x14ac:dyDescent="0.2">
      <c r="E105" s="12" t="s">
        <v>82</v>
      </c>
      <c r="F105" s="12" t="s">
        <v>341</v>
      </c>
      <c r="G105" s="12" t="s">
        <v>931</v>
      </c>
      <c r="H105" s="12" t="s">
        <v>1</v>
      </c>
    </row>
    <row r="106" spans="5:8" x14ac:dyDescent="0.2">
      <c r="E106" s="1" t="s">
        <v>2265</v>
      </c>
      <c r="F106" s="16">
        <v>0.2</v>
      </c>
      <c r="G106" s="1" t="s">
        <v>1857</v>
      </c>
      <c r="H106" s="1" t="s">
        <v>2266</v>
      </c>
    </row>
    <row r="107" spans="5:8" x14ac:dyDescent="0.2">
      <c r="E107" s="1" t="s">
        <v>2267</v>
      </c>
      <c r="F107" s="16">
        <v>0.2</v>
      </c>
      <c r="G107" s="1" t="s">
        <v>1078</v>
      </c>
      <c r="H107" s="1" t="s">
        <v>2268</v>
      </c>
    </row>
    <row r="108" spans="5:8" x14ac:dyDescent="0.2">
      <c r="E108" s="1" t="s">
        <v>1870</v>
      </c>
      <c r="F108" s="16">
        <v>0.2</v>
      </c>
      <c r="G108" s="1" t="s">
        <v>1173</v>
      </c>
      <c r="H108" s="1" t="s">
        <v>2269</v>
      </c>
    </row>
    <row r="109" spans="5:8" x14ac:dyDescent="0.2">
      <c r="E109" s="1" t="s">
        <v>2</v>
      </c>
      <c r="F109" s="16">
        <v>0.15</v>
      </c>
      <c r="G109" s="1" t="s">
        <v>1040</v>
      </c>
      <c r="H109" s="1" t="s">
        <v>2270</v>
      </c>
    </row>
    <row r="110" spans="5:8" x14ac:dyDescent="0.2">
      <c r="E110" s="1" t="s">
        <v>1354</v>
      </c>
      <c r="F110" s="16">
        <v>0.15</v>
      </c>
      <c r="G110" s="1" t="s">
        <v>2271</v>
      </c>
      <c r="H110" s="1" t="s">
        <v>2272</v>
      </c>
    </row>
    <row r="111" spans="5:8" x14ac:dyDescent="0.2">
      <c r="E111" s="1" t="s">
        <v>2273</v>
      </c>
      <c r="F111" s="16">
        <v>0.1</v>
      </c>
      <c r="G111" s="1" t="s">
        <v>2274</v>
      </c>
      <c r="H111" s="1" t="s">
        <v>2275</v>
      </c>
    </row>
    <row r="113" spans="5:8" ht="15.5" customHeight="1" x14ac:dyDescent="0.2">
      <c r="E113" s="17" t="s">
        <v>2276</v>
      </c>
      <c r="F113" s="15"/>
      <c r="G113" s="15"/>
      <c r="H113" s="15"/>
    </row>
    <row r="114" spans="5:8" x14ac:dyDescent="0.2">
      <c r="E114" s="12" t="s">
        <v>82</v>
      </c>
      <c r="F114" s="12" t="s">
        <v>341</v>
      </c>
      <c r="G114" s="12" t="s">
        <v>931</v>
      </c>
      <c r="H114" s="12" t="s">
        <v>1</v>
      </c>
    </row>
    <row r="115" spans="5:8" x14ac:dyDescent="0.2">
      <c r="E115" s="1" t="s">
        <v>2277</v>
      </c>
      <c r="F115" s="16">
        <v>0.2</v>
      </c>
      <c r="G115" s="1" t="s">
        <v>974</v>
      </c>
      <c r="H115" s="1" t="s">
        <v>2278</v>
      </c>
    </row>
    <row r="116" spans="5:8" x14ac:dyDescent="0.2">
      <c r="E116" s="1" t="s">
        <v>2279</v>
      </c>
      <c r="F116" s="16">
        <v>0.15</v>
      </c>
      <c r="G116" s="1" t="s">
        <v>2280</v>
      </c>
      <c r="H116" s="1" t="s">
        <v>2281</v>
      </c>
    </row>
    <row r="117" spans="5:8" x14ac:dyDescent="0.2">
      <c r="E117" s="1" t="s">
        <v>2282</v>
      </c>
      <c r="F117" s="16">
        <v>0.15</v>
      </c>
      <c r="G117" s="1" t="s">
        <v>2283</v>
      </c>
      <c r="H117" s="1" t="s">
        <v>2284</v>
      </c>
    </row>
    <row r="118" spans="5:8" x14ac:dyDescent="0.2">
      <c r="E118" s="1" t="s">
        <v>2285</v>
      </c>
      <c r="F118" s="16">
        <v>0.15</v>
      </c>
      <c r="G118" s="1" t="s">
        <v>2286</v>
      </c>
      <c r="H118" s="1" t="s">
        <v>2287</v>
      </c>
    </row>
    <row r="119" spans="5:8" x14ac:dyDescent="0.2">
      <c r="E119" s="1" t="s">
        <v>2288</v>
      </c>
      <c r="F119" s="16">
        <v>0.15</v>
      </c>
      <c r="G119" s="1" t="s">
        <v>2289</v>
      </c>
      <c r="H119" s="1" t="s">
        <v>2290</v>
      </c>
    </row>
    <row r="120" spans="5:8" x14ac:dyDescent="0.2">
      <c r="E120" s="1" t="s">
        <v>2291</v>
      </c>
      <c r="F120" s="16">
        <v>0.1</v>
      </c>
      <c r="G120" s="1" t="s">
        <v>2292</v>
      </c>
      <c r="H120" s="1" t="s">
        <v>2293</v>
      </c>
    </row>
    <row r="121" spans="5:8" x14ac:dyDescent="0.2">
      <c r="E121" s="1" t="s">
        <v>2294</v>
      </c>
      <c r="F121" s="16">
        <v>0.1</v>
      </c>
      <c r="G121" s="1" t="s">
        <v>2295</v>
      </c>
      <c r="H121" s="1" t="s">
        <v>2296</v>
      </c>
    </row>
    <row r="123" spans="5:8" ht="15.5" customHeight="1" x14ac:dyDescent="0.2">
      <c r="E123" s="17" t="s">
        <v>2297</v>
      </c>
      <c r="F123" s="15"/>
      <c r="G123" s="15"/>
      <c r="H123" s="15"/>
    </row>
    <row r="124" spans="5:8" x14ac:dyDescent="0.2">
      <c r="E124" s="12" t="s">
        <v>82</v>
      </c>
      <c r="F124" s="12" t="s">
        <v>341</v>
      </c>
      <c r="G124" s="12" t="s">
        <v>931</v>
      </c>
      <c r="H124" s="12" t="s">
        <v>1</v>
      </c>
    </row>
    <row r="125" spans="5:8" x14ac:dyDescent="0.2">
      <c r="E125" s="1" t="s">
        <v>2298</v>
      </c>
      <c r="F125" s="16">
        <v>0.25</v>
      </c>
      <c r="G125" s="1" t="s">
        <v>2299</v>
      </c>
      <c r="H125" s="1" t="s">
        <v>2300</v>
      </c>
    </row>
    <row r="126" spans="5:8" x14ac:dyDescent="0.2">
      <c r="E126" s="1" t="s">
        <v>2301</v>
      </c>
      <c r="F126" s="16">
        <v>0.25</v>
      </c>
      <c r="G126" s="1" t="s">
        <v>2302</v>
      </c>
      <c r="H126" s="1" t="s">
        <v>2303</v>
      </c>
    </row>
    <row r="127" spans="5:8" x14ac:dyDescent="0.2">
      <c r="E127" s="1" t="s">
        <v>2304</v>
      </c>
      <c r="F127" s="16">
        <v>0.2</v>
      </c>
      <c r="G127" s="1" t="s">
        <v>2305</v>
      </c>
      <c r="H127" s="1" t="s">
        <v>2306</v>
      </c>
    </row>
    <row r="128" spans="5:8" x14ac:dyDescent="0.2">
      <c r="E128" s="1" t="s">
        <v>2307</v>
      </c>
      <c r="F128" s="16">
        <v>0.2</v>
      </c>
      <c r="G128" s="1" t="s">
        <v>2308</v>
      </c>
      <c r="H128" s="1" t="s">
        <v>2309</v>
      </c>
    </row>
    <row r="129" spans="5:8" x14ac:dyDescent="0.2">
      <c r="E129" s="1" t="s">
        <v>2310</v>
      </c>
      <c r="F129" s="16">
        <v>0.1</v>
      </c>
      <c r="G129" s="1" t="s">
        <v>2311</v>
      </c>
      <c r="H129" s="1" t="s">
        <v>2312</v>
      </c>
    </row>
    <row r="131" spans="5:8" ht="15.5" customHeight="1" x14ac:dyDescent="0.2">
      <c r="E131" s="17" t="s">
        <v>2313</v>
      </c>
      <c r="F131" s="15"/>
      <c r="G131" s="15"/>
      <c r="H131" s="15"/>
    </row>
    <row r="132" spans="5:8" x14ac:dyDescent="0.2">
      <c r="E132" s="12" t="s">
        <v>82</v>
      </c>
      <c r="F132" s="12" t="s">
        <v>341</v>
      </c>
      <c r="G132" s="12" t="s">
        <v>931</v>
      </c>
      <c r="H132" s="12" t="s">
        <v>1</v>
      </c>
    </row>
    <row r="133" spans="5:8" x14ac:dyDescent="0.2">
      <c r="E133" s="1" t="s">
        <v>2314</v>
      </c>
      <c r="F133" s="16">
        <v>0.2</v>
      </c>
      <c r="G133" s="1" t="s">
        <v>2315</v>
      </c>
      <c r="H133" s="1" t="s">
        <v>2316</v>
      </c>
    </row>
    <row r="134" spans="5:8" x14ac:dyDescent="0.2">
      <c r="E134" s="1" t="s">
        <v>2317</v>
      </c>
      <c r="F134" s="16">
        <v>0.15</v>
      </c>
      <c r="G134" s="1" t="s">
        <v>2318</v>
      </c>
      <c r="H134" s="1" t="s">
        <v>2319</v>
      </c>
    </row>
    <row r="135" spans="5:8" x14ac:dyDescent="0.2">
      <c r="E135" s="1" t="s">
        <v>2320</v>
      </c>
      <c r="F135" s="16">
        <v>0.15</v>
      </c>
      <c r="G135" s="1" t="s">
        <v>2321</v>
      </c>
      <c r="H135" s="1" t="s">
        <v>2322</v>
      </c>
    </row>
    <row r="136" spans="5:8" x14ac:dyDescent="0.2">
      <c r="E136" s="1" t="s">
        <v>1704</v>
      </c>
      <c r="F136" s="16">
        <v>0.15</v>
      </c>
      <c r="G136" s="1" t="s">
        <v>2323</v>
      </c>
      <c r="H136" s="1" t="s">
        <v>2324</v>
      </c>
    </row>
    <row r="137" spans="5:8" x14ac:dyDescent="0.2">
      <c r="E137" s="1" t="s">
        <v>2150</v>
      </c>
      <c r="F137" s="16">
        <v>0.15</v>
      </c>
      <c r="G137" s="1" t="s">
        <v>974</v>
      </c>
      <c r="H137" s="1" t="s">
        <v>2325</v>
      </c>
    </row>
    <row r="138" spans="5:8" x14ac:dyDescent="0.2">
      <c r="E138" s="1" t="s">
        <v>2326</v>
      </c>
      <c r="F138" s="16">
        <v>0.1</v>
      </c>
      <c r="G138" s="1" t="s">
        <v>1379</v>
      </c>
      <c r="H138" s="1" t="s">
        <v>2327</v>
      </c>
    </row>
    <row r="139" spans="5:8" x14ac:dyDescent="0.2">
      <c r="E139" s="1" t="s">
        <v>2169</v>
      </c>
      <c r="F139" s="16">
        <v>0.1</v>
      </c>
      <c r="G139" s="1" t="s">
        <v>982</v>
      </c>
      <c r="H139" s="1" t="s">
        <v>2328</v>
      </c>
    </row>
    <row r="141" spans="5:8" ht="15.5" customHeight="1" x14ac:dyDescent="0.2">
      <c r="E141" s="127" t="s">
        <v>2329</v>
      </c>
      <c r="F141" s="15"/>
      <c r="G141" s="15"/>
      <c r="H141" s="15"/>
    </row>
    <row r="142" spans="5:8" x14ac:dyDescent="0.2">
      <c r="E142" s="12" t="s">
        <v>82</v>
      </c>
      <c r="F142" s="12" t="s">
        <v>341</v>
      </c>
      <c r="G142" s="12" t="s">
        <v>931</v>
      </c>
      <c r="H142" s="12" t="s">
        <v>1</v>
      </c>
    </row>
    <row r="143" spans="5:8" x14ac:dyDescent="0.2">
      <c r="E143" s="1" t="s">
        <v>2150</v>
      </c>
      <c r="F143" s="16">
        <v>0.15</v>
      </c>
      <c r="G143" s="1" t="s">
        <v>966</v>
      </c>
      <c r="H143" s="1" t="s">
        <v>2330</v>
      </c>
    </row>
    <row r="144" spans="5:8" x14ac:dyDescent="0.2">
      <c r="E144" s="1" t="s">
        <v>243</v>
      </c>
      <c r="F144" s="16">
        <v>0.15</v>
      </c>
      <c r="G144" s="1" t="s">
        <v>2331</v>
      </c>
      <c r="H144" s="1" t="s">
        <v>2332</v>
      </c>
    </row>
    <row r="145" spans="5:8" x14ac:dyDescent="0.2">
      <c r="E145" s="1" t="s">
        <v>2155</v>
      </c>
      <c r="F145" s="16">
        <v>0.2</v>
      </c>
      <c r="G145" s="1" t="s">
        <v>2156</v>
      </c>
      <c r="H145" s="1" t="s">
        <v>2333</v>
      </c>
    </row>
    <row r="146" spans="5:8" x14ac:dyDescent="0.2">
      <c r="E146" s="1" t="s">
        <v>272</v>
      </c>
      <c r="F146" s="16">
        <v>0.15</v>
      </c>
      <c r="G146" s="1" t="s">
        <v>1184</v>
      </c>
      <c r="H146" s="1" t="s">
        <v>2334</v>
      </c>
    </row>
    <row r="147" spans="5:8" x14ac:dyDescent="0.2">
      <c r="E147" s="1" t="s">
        <v>2161</v>
      </c>
      <c r="F147" s="16">
        <v>0.1</v>
      </c>
      <c r="G147" s="1" t="s">
        <v>2335</v>
      </c>
      <c r="H147" s="1" t="s">
        <v>2336</v>
      </c>
    </row>
    <row r="148" spans="5:8" x14ac:dyDescent="0.2">
      <c r="E148" s="1" t="s">
        <v>2337</v>
      </c>
      <c r="F148" s="16">
        <v>0.1</v>
      </c>
      <c r="G148" s="1" t="s">
        <v>949</v>
      </c>
      <c r="H148" s="1" t="s">
        <v>2338</v>
      </c>
    </row>
    <row r="149" spans="5:8" x14ac:dyDescent="0.2">
      <c r="E149" s="1" t="s">
        <v>2339</v>
      </c>
      <c r="F149" s="16">
        <v>0.15</v>
      </c>
      <c r="G149" s="1" t="s">
        <v>2340</v>
      </c>
      <c r="H149" s="1" t="s">
        <v>2341</v>
      </c>
    </row>
    <row r="151" spans="5:8" ht="15.5" customHeight="1" x14ac:dyDescent="0.2">
      <c r="E151" s="127" t="s">
        <v>2342</v>
      </c>
      <c r="F151" s="15"/>
      <c r="G151" s="15"/>
      <c r="H151" s="15"/>
    </row>
    <row r="152" spans="5:8" x14ac:dyDescent="0.2">
      <c r="E152" s="12" t="s">
        <v>82</v>
      </c>
      <c r="F152" s="12" t="s">
        <v>341</v>
      </c>
      <c r="G152" s="12" t="s">
        <v>931</v>
      </c>
      <c r="H152" s="12" t="s">
        <v>1</v>
      </c>
    </row>
    <row r="153" spans="5:8" x14ac:dyDescent="0.2">
      <c r="E153" s="1" t="s">
        <v>933</v>
      </c>
      <c r="F153" s="16">
        <v>0.15</v>
      </c>
      <c r="G153" s="1" t="s">
        <v>1078</v>
      </c>
      <c r="H153" s="1" t="s">
        <v>2343</v>
      </c>
    </row>
    <row r="154" spans="5:8" x14ac:dyDescent="0.2">
      <c r="E154" s="1" t="s">
        <v>1870</v>
      </c>
      <c r="F154" s="16">
        <v>0.2</v>
      </c>
      <c r="G154" s="1" t="s">
        <v>982</v>
      </c>
      <c r="H154" s="1" t="s">
        <v>2344</v>
      </c>
    </row>
    <row r="155" spans="5:8" x14ac:dyDescent="0.2">
      <c r="E155" s="1" t="s">
        <v>2</v>
      </c>
      <c r="F155" s="16">
        <v>0.15</v>
      </c>
      <c r="G155" s="1" t="s">
        <v>949</v>
      </c>
      <c r="H155" s="1" t="s">
        <v>2345</v>
      </c>
    </row>
    <row r="156" spans="5:8" x14ac:dyDescent="0.2">
      <c r="E156" s="1" t="s">
        <v>2267</v>
      </c>
      <c r="F156" s="16">
        <v>0.15</v>
      </c>
      <c r="G156" s="1" t="s">
        <v>1857</v>
      </c>
      <c r="H156" s="1" t="s">
        <v>2346</v>
      </c>
    </row>
    <row r="157" spans="5:8" x14ac:dyDescent="0.2">
      <c r="E157" s="1" t="s">
        <v>2347</v>
      </c>
      <c r="F157" s="16">
        <v>0.15</v>
      </c>
      <c r="G157" s="1" t="s">
        <v>2348</v>
      </c>
      <c r="H157" s="1" t="s">
        <v>2349</v>
      </c>
    </row>
    <row r="158" spans="5:8" x14ac:dyDescent="0.2">
      <c r="E158" s="1" t="s">
        <v>1029</v>
      </c>
      <c r="F158" s="16">
        <v>0.1</v>
      </c>
      <c r="G158" s="1" t="s">
        <v>2350</v>
      </c>
      <c r="H158" s="1" t="s">
        <v>2351</v>
      </c>
    </row>
    <row r="159" spans="5:8" x14ac:dyDescent="0.2">
      <c r="E159" s="1" t="s">
        <v>2352</v>
      </c>
      <c r="F159" s="16">
        <v>0.1</v>
      </c>
      <c r="G159" s="1" t="s">
        <v>2353</v>
      </c>
      <c r="H159" s="1" t="s">
        <v>2354</v>
      </c>
    </row>
    <row r="161" spans="5:8" x14ac:dyDescent="0.2">
      <c r="E161" s="117" t="s">
        <v>2355</v>
      </c>
      <c r="F161" s="117" t="s">
        <v>341</v>
      </c>
      <c r="G161" s="117" t="s">
        <v>1210</v>
      </c>
      <c r="H161" s="117" t="s">
        <v>1211</v>
      </c>
    </row>
    <row r="162" spans="5:8" x14ac:dyDescent="0.2">
      <c r="E162" s="105" t="s">
        <v>2356</v>
      </c>
      <c r="F162" s="106">
        <v>0.2</v>
      </c>
      <c r="G162" s="107" t="s">
        <v>2357</v>
      </c>
      <c r="H162" s="105" t="s">
        <v>2358</v>
      </c>
    </row>
    <row r="163" spans="5:8" x14ac:dyDescent="0.2">
      <c r="E163" s="105" t="s">
        <v>2359</v>
      </c>
      <c r="F163" s="106">
        <v>0.2</v>
      </c>
      <c r="G163" s="107" t="s">
        <v>2360</v>
      </c>
      <c r="H163" s="105" t="s">
        <v>2361</v>
      </c>
    </row>
    <row r="164" spans="5:8" x14ac:dyDescent="0.2">
      <c r="E164" s="105" t="s">
        <v>2362</v>
      </c>
      <c r="F164" s="106">
        <v>0.2</v>
      </c>
      <c r="G164" s="107" t="s">
        <v>2363</v>
      </c>
      <c r="H164" s="105" t="s">
        <v>2364</v>
      </c>
    </row>
    <row r="165" spans="5:8" x14ac:dyDescent="0.2">
      <c r="E165" s="105" t="s">
        <v>2365</v>
      </c>
      <c r="F165" s="106">
        <v>0.15</v>
      </c>
      <c r="G165" s="107" t="s">
        <v>2366</v>
      </c>
      <c r="H165" s="105" t="s">
        <v>2367</v>
      </c>
    </row>
    <row r="166" spans="5:8" x14ac:dyDescent="0.2">
      <c r="E166" s="105" t="s">
        <v>2368</v>
      </c>
      <c r="F166" s="106">
        <v>0.15</v>
      </c>
      <c r="G166" s="107" t="s">
        <v>2369</v>
      </c>
      <c r="H166" s="105" t="s">
        <v>2370</v>
      </c>
    </row>
    <row r="167" spans="5:8" x14ac:dyDescent="0.2">
      <c r="E167" s="102" t="s">
        <v>2371</v>
      </c>
      <c r="F167" s="103">
        <v>0.1</v>
      </c>
      <c r="G167" s="104" t="s">
        <v>2372</v>
      </c>
      <c r="H167" s="102" t="s">
        <v>2373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H64"/>
  <sheetViews>
    <sheetView zoomScale="96" workbookViewId="0">
      <selection activeCell="E2" sqref="E2"/>
    </sheetView>
  </sheetViews>
  <sheetFormatPr baseColWidth="10" defaultColWidth="8.83203125" defaultRowHeight="15" x14ac:dyDescent="0.2"/>
  <cols>
    <col min="3" max="3" width="26.33203125" bestFit="1" customWidth="1"/>
    <col min="5" max="5" width="39.83203125" bestFit="1" customWidth="1"/>
    <col min="7" max="7" width="33" bestFit="1" customWidth="1"/>
    <col min="8" max="8" width="148.5" bestFit="1" customWidth="1"/>
  </cols>
  <sheetData>
    <row r="2" spans="2:8" ht="17.5" customHeight="1" x14ac:dyDescent="0.2">
      <c r="B2" s="6" t="s">
        <v>81</v>
      </c>
      <c r="C2" s="4" t="s">
        <v>2374</v>
      </c>
      <c r="E2" s="8" t="s">
        <v>930</v>
      </c>
      <c r="F2" s="8" t="s">
        <v>341</v>
      </c>
      <c r="G2" s="12" t="s">
        <v>931</v>
      </c>
      <c r="H2" s="1" t="s">
        <v>1091</v>
      </c>
    </row>
    <row r="3" spans="2:8" ht="16" x14ac:dyDescent="0.2">
      <c r="B3" s="1">
        <v>1</v>
      </c>
      <c r="C3" s="5" t="s">
        <v>2375</v>
      </c>
      <c r="E3" s="9" t="s">
        <v>937</v>
      </c>
      <c r="F3" s="10">
        <v>0.2</v>
      </c>
      <c r="G3" s="14" t="s">
        <v>2376</v>
      </c>
      <c r="H3" s="1" t="s">
        <v>2377</v>
      </c>
    </row>
    <row r="4" spans="2:8" ht="16" x14ac:dyDescent="0.2">
      <c r="B4" s="1">
        <v>2</v>
      </c>
      <c r="C4" s="5" t="s">
        <v>2378</v>
      </c>
      <c r="E4" s="9" t="s">
        <v>2379</v>
      </c>
      <c r="F4" s="10">
        <v>0.15</v>
      </c>
      <c r="G4" s="14" t="s">
        <v>2380</v>
      </c>
      <c r="H4" s="1" t="s">
        <v>2381</v>
      </c>
    </row>
    <row r="5" spans="2:8" ht="16" x14ac:dyDescent="0.2">
      <c r="B5" s="1">
        <v>3</v>
      </c>
      <c r="C5" s="5" t="s">
        <v>2382</v>
      </c>
      <c r="E5" s="9" t="s">
        <v>2383</v>
      </c>
      <c r="F5" s="10">
        <v>0.15</v>
      </c>
      <c r="G5" s="14" t="s">
        <v>2384</v>
      </c>
      <c r="H5" s="1" t="s">
        <v>2385</v>
      </c>
    </row>
    <row r="6" spans="2:8" ht="16" x14ac:dyDescent="0.2">
      <c r="B6" s="1">
        <v>4</v>
      </c>
      <c r="C6" s="5" t="s">
        <v>2386</v>
      </c>
      <c r="E6" s="9" t="s">
        <v>2387</v>
      </c>
      <c r="F6" s="10">
        <v>0.15</v>
      </c>
      <c r="G6" s="14" t="s">
        <v>2388</v>
      </c>
      <c r="H6" s="1" t="s">
        <v>2389</v>
      </c>
    </row>
    <row r="7" spans="2:8" ht="16" x14ac:dyDescent="0.2">
      <c r="B7" s="1">
        <v>5</v>
      </c>
      <c r="C7" s="5" t="s">
        <v>2390</v>
      </c>
      <c r="E7" s="9" t="s">
        <v>2</v>
      </c>
      <c r="F7" s="10">
        <v>0.15</v>
      </c>
      <c r="G7" s="14" t="s">
        <v>982</v>
      </c>
      <c r="H7" s="1" t="s">
        <v>2391</v>
      </c>
    </row>
    <row r="8" spans="2:8" ht="16" x14ac:dyDescent="0.2">
      <c r="B8" s="1">
        <v>6</v>
      </c>
      <c r="C8" s="5" t="s">
        <v>2392</v>
      </c>
      <c r="E8" s="9" t="s">
        <v>1039</v>
      </c>
      <c r="F8" s="10">
        <v>0.1</v>
      </c>
      <c r="G8" s="14" t="s">
        <v>2393</v>
      </c>
      <c r="H8" s="1" t="s">
        <v>2394</v>
      </c>
    </row>
    <row r="9" spans="2:8" ht="16" x14ac:dyDescent="0.2">
      <c r="E9" s="9" t="s">
        <v>226</v>
      </c>
      <c r="F9" s="10">
        <v>0.1</v>
      </c>
      <c r="G9" s="14" t="s">
        <v>2395</v>
      </c>
      <c r="H9" s="1" t="s">
        <v>2396</v>
      </c>
    </row>
    <row r="11" spans="2:8" ht="15.5" customHeight="1" x14ac:dyDescent="0.2">
      <c r="E11" s="17" t="s">
        <v>2397</v>
      </c>
      <c r="F11" s="23"/>
      <c r="G11" s="23"/>
      <c r="H11" s="15"/>
    </row>
    <row r="12" spans="2:8" x14ac:dyDescent="0.2">
      <c r="E12" s="19" t="s">
        <v>82</v>
      </c>
      <c r="F12" s="19" t="s">
        <v>341</v>
      </c>
      <c r="G12" s="19" t="s">
        <v>931</v>
      </c>
      <c r="H12" s="19" t="s">
        <v>1</v>
      </c>
    </row>
    <row r="13" spans="2:8" x14ac:dyDescent="0.2">
      <c r="E13" s="1" t="s">
        <v>933</v>
      </c>
      <c r="F13" s="16">
        <v>0.15</v>
      </c>
      <c r="G13" s="1" t="s">
        <v>964</v>
      </c>
      <c r="H13" s="1" t="s">
        <v>2398</v>
      </c>
    </row>
    <row r="14" spans="2:8" x14ac:dyDescent="0.2">
      <c r="E14" s="1" t="s">
        <v>937</v>
      </c>
      <c r="F14" s="16">
        <v>0.2</v>
      </c>
      <c r="G14" s="1" t="s">
        <v>2076</v>
      </c>
      <c r="H14" s="1" t="s">
        <v>2399</v>
      </c>
    </row>
    <row r="15" spans="2:8" x14ac:dyDescent="0.2">
      <c r="E15" s="1" t="s">
        <v>2400</v>
      </c>
      <c r="F15" s="16">
        <v>0.2</v>
      </c>
      <c r="G15" s="1" t="s">
        <v>2401</v>
      </c>
      <c r="H15" s="1" t="s">
        <v>2402</v>
      </c>
    </row>
    <row r="16" spans="2:8" x14ac:dyDescent="0.2">
      <c r="E16" s="1" t="s">
        <v>2403</v>
      </c>
      <c r="F16" s="16">
        <v>0.15</v>
      </c>
      <c r="G16" s="1" t="s">
        <v>2404</v>
      </c>
      <c r="H16" s="1" t="s">
        <v>2405</v>
      </c>
    </row>
    <row r="17" spans="5:8" x14ac:dyDescent="0.2">
      <c r="E17" s="1" t="s">
        <v>2406</v>
      </c>
      <c r="F17" s="16">
        <v>0.15</v>
      </c>
      <c r="G17" s="1" t="s">
        <v>2407</v>
      </c>
      <c r="H17" s="1" t="s">
        <v>2408</v>
      </c>
    </row>
    <row r="18" spans="5:8" x14ac:dyDescent="0.2">
      <c r="E18" s="1" t="s">
        <v>2409</v>
      </c>
      <c r="F18" s="16">
        <v>0.1</v>
      </c>
      <c r="G18" s="1" t="s">
        <v>1498</v>
      </c>
      <c r="H18" s="1" t="s">
        <v>2410</v>
      </c>
    </row>
    <row r="19" spans="5:8" x14ac:dyDescent="0.2">
      <c r="E19" s="1" t="s">
        <v>2</v>
      </c>
      <c r="F19" s="16">
        <v>0.05</v>
      </c>
      <c r="G19" s="1" t="s">
        <v>949</v>
      </c>
      <c r="H19" s="1" t="s">
        <v>2411</v>
      </c>
    </row>
    <row r="20" spans="5:8" x14ac:dyDescent="0.2">
      <c r="E20" s="1"/>
      <c r="F20" s="1"/>
      <c r="G20" s="1"/>
      <c r="H20" s="1"/>
    </row>
    <row r="21" spans="5:8" ht="15.5" customHeight="1" x14ac:dyDescent="0.2">
      <c r="E21" s="17" t="s">
        <v>2412</v>
      </c>
      <c r="F21" s="15"/>
      <c r="G21" s="15"/>
      <c r="H21" s="15"/>
    </row>
    <row r="22" spans="5:8" x14ac:dyDescent="0.2">
      <c r="E22" s="12" t="s">
        <v>82</v>
      </c>
      <c r="F22" s="12" t="s">
        <v>341</v>
      </c>
      <c r="G22" s="12" t="s">
        <v>931</v>
      </c>
      <c r="H22" s="12" t="s">
        <v>1</v>
      </c>
    </row>
    <row r="23" spans="5:8" x14ac:dyDescent="0.2">
      <c r="E23" s="1" t="s">
        <v>2413</v>
      </c>
      <c r="F23" s="16">
        <v>0.2</v>
      </c>
      <c r="G23" s="1" t="s">
        <v>2414</v>
      </c>
      <c r="H23" s="1" t="s">
        <v>2415</v>
      </c>
    </row>
    <row r="24" spans="5:8" x14ac:dyDescent="0.2">
      <c r="E24" s="1" t="s">
        <v>933</v>
      </c>
      <c r="F24" s="16">
        <v>0.15</v>
      </c>
      <c r="G24" s="1" t="s">
        <v>980</v>
      </c>
      <c r="H24" s="1" t="s">
        <v>2416</v>
      </c>
    </row>
    <row r="25" spans="5:8" x14ac:dyDescent="0.2">
      <c r="E25" s="1" t="s">
        <v>2379</v>
      </c>
      <c r="F25" s="16">
        <v>0.2</v>
      </c>
      <c r="G25" s="1" t="s">
        <v>2417</v>
      </c>
      <c r="H25" s="1" t="s">
        <v>2418</v>
      </c>
    </row>
    <row r="26" spans="5:8" x14ac:dyDescent="0.2">
      <c r="E26" s="1" t="s">
        <v>2419</v>
      </c>
      <c r="F26" s="16">
        <v>0.15</v>
      </c>
      <c r="G26" s="1" t="s">
        <v>2420</v>
      </c>
      <c r="H26" s="1" t="s">
        <v>2421</v>
      </c>
    </row>
    <row r="27" spans="5:8" x14ac:dyDescent="0.2">
      <c r="E27" s="1" t="s">
        <v>2422</v>
      </c>
      <c r="F27" s="16">
        <v>0.15</v>
      </c>
      <c r="G27" s="1" t="s">
        <v>2423</v>
      </c>
      <c r="H27" s="1" t="s">
        <v>2424</v>
      </c>
    </row>
    <row r="28" spans="5:8" x14ac:dyDescent="0.2">
      <c r="E28" s="1" t="s">
        <v>1421</v>
      </c>
      <c r="F28" s="16">
        <v>0.15</v>
      </c>
      <c r="G28" s="1" t="s">
        <v>2027</v>
      </c>
      <c r="H28" s="1" t="s">
        <v>2425</v>
      </c>
    </row>
    <row r="29" spans="5:8" x14ac:dyDescent="0.2">
      <c r="E29" s="1"/>
      <c r="F29" s="1"/>
      <c r="G29" s="1"/>
      <c r="H29" s="1"/>
    </row>
    <row r="30" spans="5:8" ht="15.5" customHeight="1" x14ac:dyDescent="0.2">
      <c r="E30" s="17" t="s">
        <v>2426</v>
      </c>
      <c r="F30" s="15"/>
      <c r="G30" s="15"/>
      <c r="H30" s="15"/>
    </row>
    <row r="31" spans="5:8" x14ac:dyDescent="0.2">
      <c r="E31" s="12" t="s">
        <v>82</v>
      </c>
      <c r="F31" s="12" t="s">
        <v>341</v>
      </c>
      <c r="G31" s="12" t="s">
        <v>931</v>
      </c>
      <c r="H31" s="12" t="s">
        <v>1</v>
      </c>
    </row>
    <row r="32" spans="5:8" x14ac:dyDescent="0.2">
      <c r="E32" s="1" t="s">
        <v>1710</v>
      </c>
      <c r="F32" s="16">
        <v>0.2</v>
      </c>
      <c r="G32" s="1" t="s">
        <v>1829</v>
      </c>
      <c r="H32" s="1" t="s">
        <v>2427</v>
      </c>
    </row>
    <row r="33" spans="5:8" x14ac:dyDescent="0.2">
      <c r="E33" s="1" t="s">
        <v>2428</v>
      </c>
      <c r="F33" s="16">
        <v>0.2</v>
      </c>
      <c r="G33" s="1" t="s">
        <v>2429</v>
      </c>
      <c r="H33" s="1" t="s">
        <v>2430</v>
      </c>
    </row>
    <row r="34" spans="5:8" x14ac:dyDescent="0.2">
      <c r="E34" s="1" t="s">
        <v>937</v>
      </c>
      <c r="F34" s="16">
        <v>0.2</v>
      </c>
      <c r="G34" s="1" t="s">
        <v>2076</v>
      </c>
      <c r="H34" s="1" t="s">
        <v>2431</v>
      </c>
    </row>
    <row r="35" spans="5:8" x14ac:dyDescent="0.2">
      <c r="E35" s="1" t="s">
        <v>2432</v>
      </c>
      <c r="F35" s="16">
        <v>0.15</v>
      </c>
      <c r="G35" s="1" t="s">
        <v>2433</v>
      </c>
      <c r="H35" s="1" t="s">
        <v>2434</v>
      </c>
    </row>
    <row r="36" spans="5:8" x14ac:dyDescent="0.2">
      <c r="E36" s="1" t="s">
        <v>2435</v>
      </c>
      <c r="F36" s="16">
        <v>0.15</v>
      </c>
      <c r="G36" s="1" t="s">
        <v>2436</v>
      </c>
      <c r="H36" s="1" t="s">
        <v>2437</v>
      </c>
    </row>
    <row r="37" spans="5:8" x14ac:dyDescent="0.2">
      <c r="E37" s="1" t="s">
        <v>2</v>
      </c>
      <c r="F37" s="16">
        <v>0.1</v>
      </c>
      <c r="G37" s="1" t="s">
        <v>966</v>
      </c>
      <c r="H37" s="1" t="s">
        <v>2438</v>
      </c>
    </row>
    <row r="38" spans="5:8" x14ac:dyDescent="0.2">
      <c r="E38" s="1"/>
      <c r="F38" s="1"/>
      <c r="G38" s="1"/>
      <c r="H38" s="1"/>
    </row>
    <row r="39" spans="5:8" ht="15.5" customHeight="1" x14ac:dyDescent="0.2">
      <c r="E39" s="17" t="s">
        <v>2439</v>
      </c>
      <c r="F39" s="15"/>
      <c r="G39" s="15"/>
      <c r="H39" s="15"/>
    </row>
    <row r="40" spans="5:8" x14ac:dyDescent="0.2">
      <c r="E40" s="12" t="s">
        <v>82</v>
      </c>
      <c r="F40" s="12" t="s">
        <v>341</v>
      </c>
      <c r="G40" s="12" t="s">
        <v>931</v>
      </c>
      <c r="H40" s="12" t="s">
        <v>1</v>
      </c>
    </row>
    <row r="41" spans="5:8" x14ac:dyDescent="0.2">
      <c r="E41" s="1" t="s">
        <v>933</v>
      </c>
      <c r="F41" s="16">
        <v>0.15</v>
      </c>
      <c r="G41" s="1" t="s">
        <v>934</v>
      </c>
      <c r="H41" s="1" t="s">
        <v>2440</v>
      </c>
    </row>
    <row r="42" spans="5:8" x14ac:dyDescent="0.2">
      <c r="E42" s="1" t="s">
        <v>937</v>
      </c>
      <c r="F42" s="16">
        <v>0.2</v>
      </c>
      <c r="G42" s="1" t="s">
        <v>2441</v>
      </c>
      <c r="H42" s="1" t="s">
        <v>2442</v>
      </c>
    </row>
    <row r="43" spans="5:8" x14ac:dyDescent="0.2">
      <c r="E43" s="1" t="s">
        <v>2443</v>
      </c>
      <c r="F43" s="16">
        <v>0.15</v>
      </c>
      <c r="G43" s="1" t="s">
        <v>2444</v>
      </c>
      <c r="H43" s="1" t="s">
        <v>2445</v>
      </c>
    </row>
    <row r="44" spans="5:8" x14ac:dyDescent="0.2">
      <c r="E44" s="1" t="s">
        <v>2446</v>
      </c>
      <c r="F44" s="16">
        <v>0.15</v>
      </c>
      <c r="G44" s="1" t="s">
        <v>2447</v>
      </c>
      <c r="H44" s="1" t="s">
        <v>2448</v>
      </c>
    </row>
    <row r="45" spans="5:8" x14ac:dyDescent="0.2">
      <c r="E45" s="1" t="s">
        <v>2449</v>
      </c>
      <c r="F45" s="16">
        <v>0.15</v>
      </c>
      <c r="G45" s="1" t="s">
        <v>1006</v>
      </c>
      <c r="H45" s="1" t="s">
        <v>2450</v>
      </c>
    </row>
    <row r="46" spans="5:8" x14ac:dyDescent="0.2">
      <c r="E46" s="1" t="s">
        <v>2</v>
      </c>
      <c r="F46" s="16">
        <v>0.2</v>
      </c>
      <c r="G46" s="1" t="s">
        <v>1175</v>
      </c>
      <c r="H46" s="1" t="s">
        <v>2451</v>
      </c>
    </row>
    <row r="47" spans="5:8" x14ac:dyDescent="0.2">
      <c r="E47" s="1"/>
      <c r="F47" s="1"/>
      <c r="G47" s="1"/>
      <c r="H47" s="1"/>
    </row>
    <row r="48" spans="5:8" ht="15.5" customHeight="1" x14ac:dyDescent="0.2">
      <c r="E48" s="17" t="s">
        <v>2452</v>
      </c>
      <c r="F48" s="15"/>
      <c r="G48" s="15"/>
      <c r="H48" s="15"/>
    </row>
    <row r="49" spans="5:8" x14ac:dyDescent="0.2">
      <c r="E49" s="12" t="s">
        <v>82</v>
      </c>
      <c r="F49" s="12" t="s">
        <v>341</v>
      </c>
      <c r="G49" s="12" t="s">
        <v>931</v>
      </c>
      <c r="H49" s="12" t="s">
        <v>1</v>
      </c>
    </row>
    <row r="50" spans="5:8" x14ac:dyDescent="0.2">
      <c r="E50" s="1" t="s">
        <v>933</v>
      </c>
      <c r="F50" s="16">
        <v>0.2</v>
      </c>
      <c r="G50" s="1" t="s">
        <v>1408</v>
      </c>
      <c r="H50" s="1" t="s">
        <v>2453</v>
      </c>
    </row>
    <row r="51" spans="5:8" x14ac:dyDescent="0.2">
      <c r="E51" s="1" t="s">
        <v>1421</v>
      </c>
      <c r="F51" s="16">
        <v>0.2</v>
      </c>
      <c r="G51" s="1" t="s">
        <v>1173</v>
      </c>
      <c r="H51" s="1" t="s">
        <v>2454</v>
      </c>
    </row>
    <row r="52" spans="5:8" x14ac:dyDescent="0.2">
      <c r="E52" s="1" t="s">
        <v>2379</v>
      </c>
      <c r="F52" s="16">
        <v>0.15</v>
      </c>
      <c r="G52" s="1" t="s">
        <v>2455</v>
      </c>
      <c r="H52" s="1" t="s">
        <v>2456</v>
      </c>
    </row>
    <row r="53" spans="5:8" x14ac:dyDescent="0.2">
      <c r="E53" s="1" t="s">
        <v>2457</v>
      </c>
      <c r="F53" s="16">
        <v>0.15</v>
      </c>
      <c r="G53" s="1" t="s">
        <v>2458</v>
      </c>
      <c r="H53" s="1" t="s">
        <v>2459</v>
      </c>
    </row>
    <row r="54" spans="5:8" x14ac:dyDescent="0.2">
      <c r="E54" s="1" t="s">
        <v>945</v>
      </c>
      <c r="F54" s="16">
        <v>0.15</v>
      </c>
      <c r="G54" s="1" t="s">
        <v>2460</v>
      </c>
      <c r="H54" s="1" t="s">
        <v>2461</v>
      </c>
    </row>
    <row r="55" spans="5:8" x14ac:dyDescent="0.2">
      <c r="E55" s="1" t="s">
        <v>2</v>
      </c>
      <c r="F55" s="16">
        <v>0.15</v>
      </c>
      <c r="G55" s="1" t="s">
        <v>949</v>
      </c>
      <c r="H55" s="1" t="s">
        <v>2462</v>
      </c>
    </row>
    <row r="56" spans="5:8" x14ac:dyDescent="0.2">
      <c r="E56" s="1"/>
      <c r="F56" s="1"/>
      <c r="G56" s="1"/>
      <c r="H56" s="1"/>
    </row>
    <row r="57" spans="5:8" ht="15.5" customHeight="1" x14ac:dyDescent="0.2">
      <c r="E57" s="17" t="s">
        <v>2463</v>
      </c>
      <c r="F57" s="15"/>
      <c r="G57" s="15"/>
      <c r="H57" s="15"/>
    </row>
    <row r="58" spans="5:8" x14ac:dyDescent="0.2">
      <c r="E58" s="12" t="s">
        <v>82</v>
      </c>
      <c r="F58" s="12" t="s">
        <v>341</v>
      </c>
      <c r="G58" s="12" t="s">
        <v>931</v>
      </c>
      <c r="H58" s="12" t="s">
        <v>1</v>
      </c>
    </row>
    <row r="59" spans="5:8" x14ac:dyDescent="0.2">
      <c r="E59" s="1" t="s">
        <v>933</v>
      </c>
      <c r="F59" s="16">
        <v>0.2</v>
      </c>
      <c r="G59" s="1" t="s">
        <v>2464</v>
      </c>
      <c r="H59" s="1" t="s">
        <v>2465</v>
      </c>
    </row>
    <row r="60" spans="5:8" x14ac:dyDescent="0.2">
      <c r="E60" s="1" t="s">
        <v>2466</v>
      </c>
      <c r="F60" s="16">
        <v>0.2</v>
      </c>
      <c r="G60" s="1" t="s">
        <v>1857</v>
      </c>
      <c r="H60" s="1" t="s">
        <v>2467</v>
      </c>
    </row>
    <row r="61" spans="5:8" x14ac:dyDescent="0.2">
      <c r="E61" s="1" t="s">
        <v>1421</v>
      </c>
      <c r="F61" s="16">
        <v>0.15</v>
      </c>
      <c r="G61" s="1" t="s">
        <v>2020</v>
      </c>
      <c r="H61" s="1" t="s">
        <v>2468</v>
      </c>
    </row>
    <row r="62" spans="5:8" x14ac:dyDescent="0.2">
      <c r="E62" s="1" t="s">
        <v>1820</v>
      </c>
      <c r="F62" s="16">
        <v>0.2</v>
      </c>
      <c r="G62" s="1" t="s">
        <v>2469</v>
      </c>
      <c r="H62" s="1" t="s">
        <v>2470</v>
      </c>
    </row>
    <row r="63" spans="5:8" x14ac:dyDescent="0.2">
      <c r="E63" s="1" t="s">
        <v>2471</v>
      </c>
      <c r="F63" s="16">
        <v>0.15</v>
      </c>
      <c r="G63" s="1" t="s">
        <v>2472</v>
      </c>
      <c r="H63" s="1" t="s">
        <v>2473</v>
      </c>
    </row>
    <row r="64" spans="5:8" x14ac:dyDescent="0.2">
      <c r="E64" s="1" t="s">
        <v>2</v>
      </c>
      <c r="F64" s="16">
        <v>0.1</v>
      </c>
      <c r="G64" s="1" t="s">
        <v>974</v>
      </c>
      <c r="H64" s="1" t="s">
        <v>2474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H36"/>
  <sheetViews>
    <sheetView zoomScale="115" workbookViewId="0">
      <selection activeCell="B2" sqref="B2:C5"/>
    </sheetView>
  </sheetViews>
  <sheetFormatPr baseColWidth="10" defaultColWidth="8.83203125" defaultRowHeight="15" x14ac:dyDescent="0.2"/>
  <cols>
    <col min="1" max="1" width="2.6640625" customWidth="1"/>
    <col min="2" max="2" width="5.5" customWidth="1"/>
    <col min="3" max="3" width="31.5" bestFit="1" customWidth="1"/>
    <col min="4" max="4" width="2.6640625" customWidth="1"/>
    <col min="5" max="5" width="32.6640625" customWidth="1"/>
    <col min="6" max="6" width="10" customWidth="1"/>
    <col min="7" max="7" width="23.6640625" customWidth="1"/>
    <col min="8" max="8" width="72.6640625" customWidth="1"/>
  </cols>
  <sheetData>
    <row r="2" spans="2:8" ht="15.5" customHeight="1" x14ac:dyDescent="0.2">
      <c r="B2" s="1" t="s">
        <v>81</v>
      </c>
      <c r="C2" s="136" t="s">
        <v>2475</v>
      </c>
      <c r="E2" s="12" t="s">
        <v>930</v>
      </c>
      <c r="F2" s="12" t="s">
        <v>341</v>
      </c>
      <c r="G2" s="12" t="s">
        <v>931</v>
      </c>
      <c r="H2" s="12" t="s">
        <v>1</v>
      </c>
    </row>
    <row r="3" spans="2:8" x14ac:dyDescent="0.2">
      <c r="B3" s="1">
        <v>1</v>
      </c>
      <c r="C3" s="1" t="s">
        <v>2476</v>
      </c>
      <c r="E3" s="1" t="s">
        <v>2477</v>
      </c>
      <c r="F3" s="16">
        <v>0.2</v>
      </c>
      <c r="G3" s="1" t="s">
        <v>1857</v>
      </c>
      <c r="H3" s="1" t="s">
        <v>2478</v>
      </c>
    </row>
    <row r="4" spans="2:8" x14ac:dyDescent="0.2">
      <c r="B4" s="1">
        <v>2</v>
      </c>
      <c r="C4" s="1" t="s">
        <v>2479</v>
      </c>
      <c r="E4" s="1" t="s">
        <v>2480</v>
      </c>
      <c r="F4" s="16">
        <v>0.2</v>
      </c>
      <c r="G4" s="1" t="s">
        <v>2481</v>
      </c>
      <c r="H4" s="1" t="s">
        <v>2482</v>
      </c>
    </row>
    <row r="5" spans="2:8" x14ac:dyDescent="0.2">
      <c r="B5" s="1">
        <v>3</v>
      </c>
      <c r="C5" s="1" t="s">
        <v>2483</v>
      </c>
      <c r="E5" s="1" t="s">
        <v>937</v>
      </c>
      <c r="F5" s="16">
        <v>0.15</v>
      </c>
      <c r="G5" s="1" t="s">
        <v>2484</v>
      </c>
      <c r="H5" s="1" t="s">
        <v>2485</v>
      </c>
    </row>
    <row r="6" spans="2:8" x14ac:dyDescent="0.2">
      <c r="E6" s="1" t="s">
        <v>1345</v>
      </c>
      <c r="F6" s="16">
        <v>0.15</v>
      </c>
      <c r="G6" s="1" t="s">
        <v>2486</v>
      </c>
      <c r="H6" s="1" t="s">
        <v>2487</v>
      </c>
    </row>
    <row r="7" spans="2:8" x14ac:dyDescent="0.2">
      <c r="E7" s="1" t="s">
        <v>3</v>
      </c>
      <c r="F7" s="16">
        <v>0.15</v>
      </c>
      <c r="G7" s="1" t="s">
        <v>2488</v>
      </c>
      <c r="H7" s="1" t="s">
        <v>2489</v>
      </c>
    </row>
    <row r="8" spans="2:8" x14ac:dyDescent="0.2">
      <c r="E8" s="1" t="s">
        <v>2</v>
      </c>
      <c r="F8" s="16">
        <v>0.15</v>
      </c>
      <c r="G8" s="1" t="s">
        <v>1011</v>
      </c>
      <c r="H8" s="1" t="s">
        <v>2490</v>
      </c>
    </row>
    <row r="10" spans="2:8" ht="15.5" customHeight="1" x14ac:dyDescent="0.2">
      <c r="E10" s="17" t="s">
        <v>2491</v>
      </c>
      <c r="F10" s="15"/>
      <c r="G10" s="15"/>
      <c r="H10" s="15"/>
    </row>
    <row r="11" spans="2:8" x14ac:dyDescent="0.2">
      <c r="E11" s="12" t="s">
        <v>82</v>
      </c>
      <c r="F11" s="12" t="s">
        <v>341</v>
      </c>
      <c r="G11" s="12" t="s">
        <v>931</v>
      </c>
      <c r="H11" s="12" t="s">
        <v>1</v>
      </c>
    </row>
    <row r="12" spans="2:8" x14ac:dyDescent="0.2">
      <c r="E12" s="1" t="s">
        <v>2477</v>
      </c>
      <c r="F12" s="16">
        <v>0.2</v>
      </c>
      <c r="G12" s="1" t="s">
        <v>1857</v>
      </c>
      <c r="H12" s="1" t="s">
        <v>2492</v>
      </c>
    </row>
    <row r="13" spans="2:8" x14ac:dyDescent="0.2">
      <c r="E13" s="1" t="s">
        <v>2493</v>
      </c>
      <c r="F13" s="16">
        <v>0.2</v>
      </c>
      <c r="G13" s="1" t="s">
        <v>2494</v>
      </c>
      <c r="H13" s="1" t="s">
        <v>2495</v>
      </c>
    </row>
    <row r="14" spans="2:8" x14ac:dyDescent="0.2">
      <c r="E14" s="1" t="s">
        <v>937</v>
      </c>
      <c r="F14" s="16">
        <v>0.15</v>
      </c>
      <c r="G14" s="1" t="s">
        <v>2484</v>
      </c>
      <c r="H14" s="1" t="s">
        <v>2496</v>
      </c>
    </row>
    <row r="15" spans="2:8" x14ac:dyDescent="0.2">
      <c r="E15" s="1" t="s">
        <v>2497</v>
      </c>
      <c r="F15" s="16">
        <v>0.15</v>
      </c>
      <c r="G15" s="1" t="s">
        <v>2486</v>
      </c>
      <c r="H15" s="1" t="s">
        <v>2498</v>
      </c>
    </row>
    <row r="16" spans="2:8" x14ac:dyDescent="0.2">
      <c r="E16" s="1" t="s">
        <v>3</v>
      </c>
      <c r="F16" s="16">
        <v>0.15</v>
      </c>
      <c r="G16" s="1" t="s">
        <v>2488</v>
      </c>
      <c r="H16" s="1" t="s">
        <v>2489</v>
      </c>
    </row>
    <row r="17" spans="5:8" x14ac:dyDescent="0.2">
      <c r="E17" s="1" t="s">
        <v>2499</v>
      </c>
      <c r="F17" s="16">
        <v>0.1</v>
      </c>
      <c r="G17" s="1" t="s">
        <v>2500</v>
      </c>
      <c r="H17" s="1" t="s">
        <v>2501</v>
      </c>
    </row>
    <row r="18" spans="5:8" x14ac:dyDescent="0.2">
      <c r="E18" s="1" t="s">
        <v>2</v>
      </c>
      <c r="F18" s="16">
        <v>0.05</v>
      </c>
      <c r="G18" s="1" t="s">
        <v>1011</v>
      </c>
      <c r="H18" s="1" t="s">
        <v>2502</v>
      </c>
    </row>
    <row r="20" spans="5:8" ht="15.5" customHeight="1" x14ac:dyDescent="0.2">
      <c r="E20" s="17" t="s">
        <v>2503</v>
      </c>
      <c r="F20" s="15"/>
      <c r="G20" s="15"/>
      <c r="H20" s="15"/>
    </row>
    <row r="21" spans="5:8" x14ac:dyDescent="0.2">
      <c r="E21" s="12" t="s">
        <v>82</v>
      </c>
      <c r="F21" s="12" t="s">
        <v>341</v>
      </c>
      <c r="G21" s="12" t="s">
        <v>931</v>
      </c>
      <c r="H21" s="12" t="s">
        <v>1</v>
      </c>
    </row>
    <row r="22" spans="5:8" x14ac:dyDescent="0.2">
      <c r="E22" s="1" t="s">
        <v>2477</v>
      </c>
      <c r="F22" s="16">
        <v>0.2</v>
      </c>
      <c r="G22" s="1" t="s">
        <v>1857</v>
      </c>
      <c r="H22" s="1" t="s">
        <v>2504</v>
      </c>
    </row>
    <row r="23" spans="5:8" x14ac:dyDescent="0.2">
      <c r="E23" s="1" t="s">
        <v>2505</v>
      </c>
      <c r="F23" s="16">
        <v>0.2</v>
      </c>
      <c r="G23" s="1" t="s">
        <v>2506</v>
      </c>
      <c r="H23" s="1" t="s">
        <v>2507</v>
      </c>
    </row>
    <row r="24" spans="5:8" x14ac:dyDescent="0.2">
      <c r="E24" s="1" t="s">
        <v>937</v>
      </c>
      <c r="F24" s="16">
        <v>0.15</v>
      </c>
      <c r="G24" s="1" t="s">
        <v>1011</v>
      </c>
      <c r="H24" s="1" t="s">
        <v>2508</v>
      </c>
    </row>
    <row r="25" spans="5:8" x14ac:dyDescent="0.2">
      <c r="E25" s="1" t="s">
        <v>3</v>
      </c>
      <c r="F25" s="16">
        <v>0.15</v>
      </c>
      <c r="G25" s="1" t="s">
        <v>2488</v>
      </c>
      <c r="H25" s="1" t="s">
        <v>2509</v>
      </c>
    </row>
    <row r="26" spans="5:8" x14ac:dyDescent="0.2">
      <c r="E26" s="1" t="s">
        <v>2510</v>
      </c>
      <c r="F26" s="16">
        <v>0.15</v>
      </c>
      <c r="G26" s="1" t="s">
        <v>2511</v>
      </c>
      <c r="H26" s="1" t="s">
        <v>2512</v>
      </c>
    </row>
    <row r="27" spans="5:8" x14ac:dyDescent="0.2">
      <c r="E27" s="1" t="s">
        <v>2</v>
      </c>
      <c r="F27" s="16">
        <v>0.15</v>
      </c>
      <c r="G27" s="1" t="s">
        <v>2513</v>
      </c>
      <c r="H27" s="1" t="s">
        <v>2514</v>
      </c>
    </row>
    <row r="29" spans="5:8" ht="15.5" customHeight="1" x14ac:dyDescent="0.2">
      <c r="E29" s="17" t="s">
        <v>2515</v>
      </c>
      <c r="F29" s="15"/>
      <c r="G29" s="15"/>
      <c r="H29" s="15"/>
    </row>
    <row r="30" spans="5:8" x14ac:dyDescent="0.2">
      <c r="E30" s="12" t="s">
        <v>82</v>
      </c>
      <c r="F30" s="12" t="s">
        <v>341</v>
      </c>
      <c r="G30" s="12" t="s">
        <v>931</v>
      </c>
      <c r="H30" s="12" t="s">
        <v>1</v>
      </c>
    </row>
    <row r="31" spans="5:8" x14ac:dyDescent="0.2">
      <c r="E31" s="1" t="s">
        <v>2477</v>
      </c>
      <c r="F31" s="16">
        <v>0.2</v>
      </c>
      <c r="G31" s="1" t="s">
        <v>2516</v>
      </c>
      <c r="H31" s="1" t="s">
        <v>2517</v>
      </c>
    </row>
    <row r="32" spans="5:8" x14ac:dyDescent="0.2">
      <c r="E32" s="1" t="s">
        <v>933</v>
      </c>
      <c r="F32" s="16">
        <v>0.15</v>
      </c>
      <c r="G32" s="1" t="s">
        <v>1515</v>
      </c>
      <c r="H32" s="1" t="s">
        <v>2518</v>
      </c>
    </row>
    <row r="33" spans="5:8" x14ac:dyDescent="0.2">
      <c r="E33" s="1" t="s">
        <v>937</v>
      </c>
      <c r="F33" s="16">
        <v>0.2</v>
      </c>
      <c r="G33" s="1" t="s">
        <v>1011</v>
      </c>
      <c r="H33" s="1" t="s">
        <v>2519</v>
      </c>
    </row>
    <row r="34" spans="5:8" x14ac:dyDescent="0.2">
      <c r="E34" s="1" t="s">
        <v>2520</v>
      </c>
      <c r="F34" s="16">
        <v>0.2</v>
      </c>
      <c r="G34" s="1" t="s">
        <v>2521</v>
      </c>
      <c r="H34" s="1" t="s">
        <v>2522</v>
      </c>
    </row>
    <row r="35" spans="5:8" x14ac:dyDescent="0.2">
      <c r="E35" s="1" t="s">
        <v>1345</v>
      </c>
      <c r="F35" s="16">
        <v>0.15</v>
      </c>
      <c r="G35" s="1" t="s">
        <v>2523</v>
      </c>
      <c r="H35" s="1" t="s">
        <v>2524</v>
      </c>
    </row>
    <row r="36" spans="5:8" x14ac:dyDescent="0.2">
      <c r="E36" s="1" t="s">
        <v>2</v>
      </c>
      <c r="F36" s="16">
        <v>0.1</v>
      </c>
      <c r="G36" s="1" t="s">
        <v>966</v>
      </c>
      <c r="H36" s="1" t="s">
        <v>2525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H115"/>
  <sheetViews>
    <sheetView zoomScale="61" workbookViewId="0">
      <selection activeCell="H11" sqref="H11"/>
    </sheetView>
  </sheetViews>
  <sheetFormatPr baseColWidth="10" defaultColWidth="8.83203125" defaultRowHeight="15" x14ac:dyDescent="0.2"/>
  <cols>
    <col min="1" max="1" width="2.6640625" customWidth="1"/>
    <col min="2" max="2" width="5.5" customWidth="1"/>
    <col min="3" max="3" width="31.5" bestFit="1" customWidth="1"/>
    <col min="4" max="4" width="2.6640625" customWidth="1"/>
    <col min="5" max="5" width="32.6640625" customWidth="1"/>
    <col min="6" max="6" width="10" customWidth="1"/>
    <col min="7" max="7" width="23.6640625" customWidth="1"/>
    <col min="8" max="8" width="179.6640625" bestFit="1" customWidth="1"/>
  </cols>
  <sheetData>
    <row r="2" spans="2:8" ht="15.5" customHeight="1" x14ac:dyDescent="0.2">
      <c r="B2" s="1" t="s">
        <v>81</v>
      </c>
      <c r="C2" s="136" t="s">
        <v>2526</v>
      </c>
      <c r="E2" s="12" t="s">
        <v>930</v>
      </c>
      <c r="F2" s="12" t="s">
        <v>341</v>
      </c>
      <c r="G2" s="12" t="s">
        <v>931</v>
      </c>
      <c r="H2" s="12" t="s">
        <v>1</v>
      </c>
    </row>
    <row r="3" spans="2:8" x14ac:dyDescent="0.2">
      <c r="B3" s="1">
        <v>1</v>
      </c>
      <c r="C3" s="1" t="s">
        <v>2527</v>
      </c>
      <c r="E3" s="1" t="s">
        <v>2528</v>
      </c>
      <c r="F3" s="16">
        <v>0.2</v>
      </c>
      <c r="G3" s="1" t="s">
        <v>2529</v>
      </c>
      <c r="H3" s="1" t="s">
        <v>2530</v>
      </c>
    </row>
    <row r="4" spans="2:8" x14ac:dyDescent="0.2">
      <c r="B4" s="1">
        <v>2</v>
      </c>
      <c r="C4" s="1" t="s">
        <v>2531</v>
      </c>
      <c r="E4" s="1" t="s">
        <v>933</v>
      </c>
      <c r="F4" s="16">
        <v>0.15</v>
      </c>
      <c r="G4" s="1" t="s">
        <v>1078</v>
      </c>
      <c r="H4" s="1" t="s">
        <v>2532</v>
      </c>
    </row>
    <row r="5" spans="2:8" x14ac:dyDescent="0.2">
      <c r="B5" s="1">
        <v>3</v>
      </c>
      <c r="C5" s="1" t="s">
        <v>2533</v>
      </c>
      <c r="E5" s="1" t="s">
        <v>937</v>
      </c>
      <c r="F5" s="16">
        <v>0.15</v>
      </c>
      <c r="G5" s="1" t="s">
        <v>974</v>
      </c>
      <c r="H5" s="1" t="s">
        <v>2534</v>
      </c>
    </row>
    <row r="6" spans="2:8" x14ac:dyDescent="0.2">
      <c r="B6" s="1">
        <v>4</v>
      </c>
      <c r="C6" s="1" t="s">
        <v>2535</v>
      </c>
      <c r="E6" s="1" t="s">
        <v>1086</v>
      </c>
      <c r="F6" s="16">
        <v>0.15</v>
      </c>
      <c r="G6" s="1" t="s">
        <v>2536</v>
      </c>
      <c r="H6" s="1" t="s">
        <v>2537</v>
      </c>
    </row>
    <row r="7" spans="2:8" x14ac:dyDescent="0.2">
      <c r="B7" s="1">
        <v>5</v>
      </c>
      <c r="C7" s="1" t="s">
        <v>2538</v>
      </c>
      <c r="E7" s="1" t="s">
        <v>2539</v>
      </c>
      <c r="F7" s="16">
        <v>0.1</v>
      </c>
      <c r="G7" s="1" t="s">
        <v>2540</v>
      </c>
      <c r="H7" s="1" t="s">
        <v>2541</v>
      </c>
    </row>
    <row r="8" spans="2:8" x14ac:dyDescent="0.2">
      <c r="B8" s="1">
        <v>6</v>
      </c>
      <c r="C8" s="1" t="s">
        <v>2542</v>
      </c>
      <c r="E8" s="1" t="s">
        <v>2543</v>
      </c>
      <c r="F8" s="16">
        <v>0.1</v>
      </c>
      <c r="G8" s="1" t="s">
        <v>2544</v>
      </c>
      <c r="H8" s="1" t="s">
        <v>2545</v>
      </c>
    </row>
    <row r="9" spans="2:8" x14ac:dyDescent="0.2">
      <c r="B9" s="1">
        <v>7</v>
      </c>
      <c r="C9" s="1" t="s">
        <v>2546</v>
      </c>
      <c r="E9" s="1" t="s">
        <v>2</v>
      </c>
      <c r="F9" s="16">
        <v>0.15</v>
      </c>
      <c r="G9" s="1" t="s">
        <v>949</v>
      </c>
      <c r="H9" s="1" t="s">
        <v>2547</v>
      </c>
    </row>
    <row r="10" spans="2:8" x14ac:dyDescent="0.2">
      <c r="B10" s="1">
        <v>8</v>
      </c>
      <c r="C10" s="1" t="s">
        <v>2548</v>
      </c>
    </row>
    <row r="11" spans="2:8" x14ac:dyDescent="0.2">
      <c r="B11" s="1">
        <v>9</v>
      </c>
      <c r="C11" s="1" t="s">
        <v>2549</v>
      </c>
    </row>
    <row r="12" spans="2:8" x14ac:dyDescent="0.2">
      <c r="B12" s="1">
        <v>10</v>
      </c>
      <c r="C12" s="1" t="s">
        <v>2550</v>
      </c>
    </row>
    <row r="13" spans="2:8" x14ac:dyDescent="0.2">
      <c r="B13" s="1">
        <v>11</v>
      </c>
      <c r="C13" s="1" t="s">
        <v>1685</v>
      </c>
    </row>
    <row r="15" spans="2:8" ht="15.5" customHeight="1" x14ac:dyDescent="0.2">
      <c r="E15" s="17" t="s">
        <v>2551</v>
      </c>
      <c r="F15" s="17"/>
      <c r="G15" s="17"/>
      <c r="H15" s="17"/>
    </row>
    <row r="16" spans="2:8" x14ac:dyDescent="0.2">
      <c r="E16" s="12" t="s">
        <v>82</v>
      </c>
      <c r="F16" s="12" t="s">
        <v>341</v>
      </c>
      <c r="G16" s="12" t="s">
        <v>931</v>
      </c>
      <c r="H16" s="12" t="s">
        <v>1</v>
      </c>
    </row>
    <row r="17" spans="5:8" x14ac:dyDescent="0.2">
      <c r="E17" s="1" t="s">
        <v>2477</v>
      </c>
      <c r="F17" s="16">
        <v>0.2</v>
      </c>
      <c r="G17" s="1" t="s">
        <v>1857</v>
      </c>
      <c r="H17" s="1" t="s">
        <v>2552</v>
      </c>
    </row>
    <row r="18" spans="5:8" x14ac:dyDescent="0.2">
      <c r="E18" s="1" t="s">
        <v>2553</v>
      </c>
      <c r="F18" s="16">
        <v>0.15</v>
      </c>
      <c r="G18" s="1" t="s">
        <v>2554</v>
      </c>
      <c r="H18" s="1" t="s">
        <v>2555</v>
      </c>
    </row>
    <row r="19" spans="5:8" x14ac:dyDescent="0.2">
      <c r="E19" s="1" t="s">
        <v>937</v>
      </c>
      <c r="F19" s="16">
        <v>0.15</v>
      </c>
      <c r="G19" s="1" t="s">
        <v>1011</v>
      </c>
      <c r="H19" s="1" t="s">
        <v>2556</v>
      </c>
    </row>
    <row r="20" spans="5:8" x14ac:dyDescent="0.2">
      <c r="E20" s="1" t="s">
        <v>2</v>
      </c>
      <c r="F20" s="16">
        <v>0.15</v>
      </c>
      <c r="G20" s="1" t="s">
        <v>949</v>
      </c>
      <c r="H20" s="1" t="s">
        <v>2557</v>
      </c>
    </row>
    <row r="21" spans="5:8" x14ac:dyDescent="0.2">
      <c r="E21" s="1" t="s">
        <v>1503</v>
      </c>
      <c r="F21" s="16">
        <v>0.15</v>
      </c>
      <c r="G21" s="1" t="s">
        <v>2558</v>
      </c>
      <c r="H21" s="1" t="s">
        <v>2559</v>
      </c>
    </row>
    <row r="22" spans="5:8" x14ac:dyDescent="0.2">
      <c r="E22" s="1" t="s">
        <v>945</v>
      </c>
      <c r="F22" s="16">
        <v>0.1</v>
      </c>
      <c r="G22" s="1" t="s">
        <v>1340</v>
      </c>
      <c r="H22" s="1" t="s">
        <v>2560</v>
      </c>
    </row>
    <row r="23" spans="5:8" x14ac:dyDescent="0.2">
      <c r="E23" s="1" t="s">
        <v>3</v>
      </c>
      <c r="F23" s="16">
        <v>0.1</v>
      </c>
      <c r="G23" s="1" t="s">
        <v>1903</v>
      </c>
      <c r="H23" s="1" t="s">
        <v>2561</v>
      </c>
    </row>
    <row r="25" spans="5:8" ht="15.5" customHeight="1" x14ac:dyDescent="0.2">
      <c r="E25" s="17" t="s">
        <v>2562</v>
      </c>
      <c r="F25" s="17"/>
      <c r="G25" s="17"/>
      <c r="H25" s="17"/>
    </row>
    <row r="26" spans="5:8" x14ac:dyDescent="0.2">
      <c r="E26" s="12" t="s">
        <v>82</v>
      </c>
      <c r="F26" s="12" t="s">
        <v>341</v>
      </c>
      <c r="G26" s="12" t="s">
        <v>931</v>
      </c>
      <c r="H26" s="12" t="s">
        <v>1</v>
      </c>
    </row>
    <row r="27" spans="5:8" x14ac:dyDescent="0.2">
      <c r="E27" s="1" t="s">
        <v>2477</v>
      </c>
      <c r="F27" s="16">
        <v>0.2</v>
      </c>
      <c r="G27" s="1" t="s">
        <v>2516</v>
      </c>
      <c r="H27" s="1" t="s">
        <v>2563</v>
      </c>
    </row>
    <row r="28" spans="5:8" x14ac:dyDescent="0.2">
      <c r="E28" s="1" t="s">
        <v>937</v>
      </c>
      <c r="F28" s="16">
        <v>0.15</v>
      </c>
      <c r="G28" s="1" t="s">
        <v>949</v>
      </c>
      <c r="H28" s="1" t="s">
        <v>2564</v>
      </c>
    </row>
    <row r="29" spans="5:8" x14ac:dyDescent="0.2">
      <c r="E29" s="1" t="s">
        <v>2565</v>
      </c>
      <c r="F29" s="16">
        <v>0.15</v>
      </c>
      <c r="G29" s="1" t="s">
        <v>2566</v>
      </c>
      <c r="H29" s="1" t="s">
        <v>2567</v>
      </c>
    </row>
    <row r="30" spans="5:8" x14ac:dyDescent="0.2">
      <c r="E30" s="1" t="s">
        <v>945</v>
      </c>
      <c r="F30" s="16">
        <v>0.15</v>
      </c>
      <c r="G30" s="1" t="s">
        <v>2568</v>
      </c>
      <c r="H30" s="1" t="s">
        <v>2569</v>
      </c>
    </row>
    <row r="31" spans="5:8" x14ac:dyDescent="0.2">
      <c r="E31" s="1" t="s">
        <v>2570</v>
      </c>
      <c r="F31" s="16">
        <v>0.15</v>
      </c>
      <c r="G31" s="1" t="s">
        <v>2571</v>
      </c>
      <c r="H31" s="1" t="s">
        <v>2572</v>
      </c>
    </row>
    <row r="32" spans="5:8" x14ac:dyDescent="0.2">
      <c r="E32" s="1" t="s">
        <v>2</v>
      </c>
      <c r="F32" s="16">
        <v>0.1</v>
      </c>
      <c r="G32" s="1" t="s">
        <v>982</v>
      </c>
      <c r="H32" s="1" t="s">
        <v>2573</v>
      </c>
    </row>
    <row r="33" spans="5:8" x14ac:dyDescent="0.2">
      <c r="E33" s="1" t="s">
        <v>2574</v>
      </c>
      <c r="F33" s="16">
        <v>0.1</v>
      </c>
      <c r="G33" s="1" t="s">
        <v>2575</v>
      </c>
      <c r="H33" s="1" t="s">
        <v>2576</v>
      </c>
    </row>
    <row r="35" spans="5:8" ht="15.5" customHeight="1" x14ac:dyDescent="0.2">
      <c r="E35" s="17" t="s">
        <v>2577</v>
      </c>
      <c r="F35" s="17"/>
      <c r="G35" s="17"/>
      <c r="H35" s="17"/>
    </row>
    <row r="36" spans="5:8" x14ac:dyDescent="0.2">
      <c r="E36" s="12" t="s">
        <v>82</v>
      </c>
      <c r="F36" s="12" t="s">
        <v>341</v>
      </c>
      <c r="G36" s="12" t="s">
        <v>931</v>
      </c>
      <c r="H36" s="12" t="s">
        <v>1</v>
      </c>
    </row>
    <row r="37" spans="5:8" x14ac:dyDescent="0.2">
      <c r="E37" s="1" t="s">
        <v>2477</v>
      </c>
      <c r="F37" s="16">
        <v>0.2</v>
      </c>
      <c r="G37" s="1" t="s">
        <v>2578</v>
      </c>
      <c r="H37" s="1" t="s">
        <v>2579</v>
      </c>
    </row>
    <row r="38" spans="5:8" x14ac:dyDescent="0.2">
      <c r="E38" s="1" t="s">
        <v>933</v>
      </c>
      <c r="F38" s="16">
        <v>0.15</v>
      </c>
      <c r="G38" s="1" t="s">
        <v>1857</v>
      </c>
      <c r="H38" s="1" t="s">
        <v>2580</v>
      </c>
    </row>
    <row r="39" spans="5:8" x14ac:dyDescent="0.2">
      <c r="E39" s="1" t="s">
        <v>937</v>
      </c>
      <c r="F39" s="16">
        <v>0.15</v>
      </c>
      <c r="G39" s="1" t="s">
        <v>1011</v>
      </c>
      <c r="H39" s="1" t="s">
        <v>2581</v>
      </c>
    </row>
    <row r="40" spans="5:8" x14ac:dyDescent="0.2">
      <c r="E40" s="1" t="s">
        <v>2582</v>
      </c>
      <c r="F40" s="16">
        <v>0.15</v>
      </c>
      <c r="G40" s="1" t="s">
        <v>2583</v>
      </c>
      <c r="H40" s="1" t="s">
        <v>2584</v>
      </c>
    </row>
    <row r="41" spans="5:8" x14ac:dyDescent="0.2">
      <c r="E41" s="1" t="s">
        <v>2585</v>
      </c>
      <c r="F41" s="16">
        <v>0.15</v>
      </c>
      <c r="G41" s="1" t="s">
        <v>2586</v>
      </c>
      <c r="H41" s="1" t="s">
        <v>2587</v>
      </c>
    </row>
    <row r="42" spans="5:8" x14ac:dyDescent="0.2">
      <c r="E42" s="1" t="s">
        <v>2</v>
      </c>
      <c r="F42" s="16">
        <v>0.1</v>
      </c>
      <c r="G42" s="1" t="s">
        <v>974</v>
      </c>
      <c r="H42" s="1" t="s">
        <v>2588</v>
      </c>
    </row>
    <row r="43" spans="5:8" x14ac:dyDescent="0.2">
      <c r="E43" s="1" t="s">
        <v>1345</v>
      </c>
      <c r="F43" s="16">
        <v>0.1</v>
      </c>
      <c r="G43" s="1" t="s">
        <v>2523</v>
      </c>
      <c r="H43" s="1" t="s">
        <v>2589</v>
      </c>
    </row>
    <row r="45" spans="5:8" ht="15.5" customHeight="1" x14ac:dyDescent="0.2">
      <c r="E45" s="17" t="s">
        <v>2590</v>
      </c>
      <c r="F45" s="17"/>
      <c r="G45" s="17"/>
      <c r="H45" s="17"/>
    </row>
    <row r="46" spans="5:8" x14ac:dyDescent="0.2">
      <c r="E46" s="12" t="s">
        <v>82</v>
      </c>
      <c r="F46" s="12" t="s">
        <v>341</v>
      </c>
      <c r="G46" s="12" t="s">
        <v>931</v>
      </c>
      <c r="H46" s="12" t="s">
        <v>1</v>
      </c>
    </row>
    <row r="47" spans="5:8" x14ac:dyDescent="0.2">
      <c r="E47" s="1" t="s">
        <v>933</v>
      </c>
      <c r="F47" s="16">
        <v>0.15</v>
      </c>
      <c r="G47" s="1" t="s">
        <v>1408</v>
      </c>
      <c r="H47" s="1" t="s">
        <v>2591</v>
      </c>
    </row>
    <row r="48" spans="5:8" x14ac:dyDescent="0.2">
      <c r="E48" s="1" t="s">
        <v>937</v>
      </c>
      <c r="F48" s="16">
        <v>0.2</v>
      </c>
      <c r="G48" s="1" t="s">
        <v>966</v>
      </c>
      <c r="H48" s="1" t="s">
        <v>2592</v>
      </c>
    </row>
    <row r="49" spans="5:8" x14ac:dyDescent="0.2">
      <c r="E49" s="1" t="s">
        <v>2593</v>
      </c>
      <c r="F49" s="16">
        <v>0.2</v>
      </c>
      <c r="G49" s="1" t="s">
        <v>2594</v>
      </c>
      <c r="H49" s="1" t="s">
        <v>2595</v>
      </c>
    </row>
    <row r="50" spans="5:8" x14ac:dyDescent="0.2">
      <c r="E50" s="1" t="s">
        <v>2</v>
      </c>
      <c r="F50" s="16">
        <v>0.2</v>
      </c>
      <c r="G50" s="1" t="s">
        <v>2076</v>
      </c>
      <c r="H50" s="1" t="s">
        <v>2596</v>
      </c>
    </row>
    <row r="51" spans="5:8" x14ac:dyDescent="0.2">
      <c r="E51" s="1" t="s">
        <v>2597</v>
      </c>
      <c r="F51" s="16">
        <v>0.15</v>
      </c>
      <c r="G51" s="1" t="s">
        <v>2598</v>
      </c>
      <c r="H51" s="1" t="s">
        <v>2599</v>
      </c>
    </row>
    <row r="52" spans="5:8" x14ac:dyDescent="0.2">
      <c r="E52" s="1" t="s">
        <v>945</v>
      </c>
      <c r="F52" s="16">
        <v>0.1</v>
      </c>
      <c r="G52" s="1" t="s">
        <v>2600</v>
      </c>
      <c r="H52" s="1" t="s">
        <v>2601</v>
      </c>
    </row>
    <row r="54" spans="5:8" ht="15.5" customHeight="1" x14ac:dyDescent="0.2">
      <c r="E54" s="17" t="s">
        <v>2602</v>
      </c>
      <c r="F54" s="17"/>
      <c r="G54" s="17"/>
      <c r="H54" s="17"/>
    </row>
    <row r="55" spans="5:8" x14ac:dyDescent="0.2">
      <c r="E55" s="12" t="s">
        <v>82</v>
      </c>
      <c r="F55" s="12" t="s">
        <v>341</v>
      </c>
      <c r="G55" s="12" t="s">
        <v>931</v>
      </c>
      <c r="H55" s="12" t="s">
        <v>1</v>
      </c>
    </row>
    <row r="56" spans="5:8" x14ac:dyDescent="0.2">
      <c r="E56" s="1" t="s">
        <v>933</v>
      </c>
      <c r="F56" s="16">
        <v>0.15</v>
      </c>
      <c r="G56" s="1" t="s">
        <v>934</v>
      </c>
      <c r="H56" s="1" t="s">
        <v>2603</v>
      </c>
    </row>
    <row r="57" spans="5:8" x14ac:dyDescent="0.2">
      <c r="E57" s="1" t="s">
        <v>937</v>
      </c>
      <c r="F57" s="16">
        <v>0.2</v>
      </c>
      <c r="G57" s="1" t="s">
        <v>966</v>
      </c>
      <c r="H57" s="1" t="s">
        <v>2604</v>
      </c>
    </row>
    <row r="58" spans="5:8" x14ac:dyDescent="0.2">
      <c r="E58" s="1" t="s">
        <v>2605</v>
      </c>
      <c r="F58" s="16">
        <v>0.2</v>
      </c>
      <c r="G58" s="1" t="s">
        <v>2460</v>
      </c>
      <c r="H58" s="1" t="s">
        <v>2606</v>
      </c>
    </row>
    <row r="59" spans="5:8" x14ac:dyDescent="0.2">
      <c r="E59" s="1" t="s">
        <v>2</v>
      </c>
      <c r="F59" s="16">
        <v>0.15</v>
      </c>
      <c r="G59" s="1" t="s">
        <v>982</v>
      </c>
      <c r="H59" s="1" t="s">
        <v>2607</v>
      </c>
    </row>
    <row r="60" spans="5:8" x14ac:dyDescent="0.2">
      <c r="E60" s="1" t="s">
        <v>2608</v>
      </c>
      <c r="F60" s="16">
        <v>0.15</v>
      </c>
      <c r="G60" s="1" t="s">
        <v>2609</v>
      </c>
      <c r="H60" s="1" t="s">
        <v>2610</v>
      </c>
    </row>
    <row r="61" spans="5:8" x14ac:dyDescent="0.2">
      <c r="E61" s="1" t="s">
        <v>968</v>
      </c>
      <c r="F61" s="16">
        <v>0.15</v>
      </c>
      <c r="G61" s="1" t="s">
        <v>1379</v>
      </c>
      <c r="H61" s="1" t="s">
        <v>2611</v>
      </c>
    </row>
    <row r="63" spans="5:8" ht="15.5" customHeight="1" x14ac:dyDescent="0.2">
      <c r="E63" s="17" t="s">
        <v>2612</v>
      </c>
      <c r="F63" s="17"/>
      <c r="G63" s="17"/>
      <c r="H63" s="17"/>
    </row>
    <row r="64" spans="5:8" x14ac:dyDescent="0.2">
      <c r="E64" s="12" t="s">
        <v>82</v>
      </c>
      <c r="F64" s="12" t="s">
        <v>341</v>
      </c>
      <c r="G64" s="12" t="s">
        <v>931</v>
      </c>
      <c r="H64" s="12" t="s">
        <v>1</v>
      </c>
    </row>
    <row r="65" spans="5:8" x14ac:dyDescent="0.2">
      <c r="E65" s="1" t="s">
        <v>933</v>
      </c>
      <c r="F65" s="16">
        <v>0.15</v>
      </c>
      <c r="G65" s="1" t="s">
        <v>934</v>
      </c>
      <c r="H65" s="1" t="s">
        <v>2613</v>
      </c>
    </row>
    <row r="66" spans="5:8" x14ac:dyDescent="0.2">
      <c r="E66" s="1" t="s">
        <v>937</v>
      </c>
      <c r="F66" s="16">
        <v>0.2</v>
      </c>
      <c r="G66" s="1" t="s">
        <v>2614</v>
      </c>
      <c r="H66" s="1" t="s">
        <v>2615</v>
      </c>
    </row>
    <row r="67" spans="5:8" x14ac:dyDescent="0.2">
      <c r="E67" s="1" t="s">
        <v>2616</v>
      </c>
      <c r="F67" s="16">
        <v>0.2</v>
      </c>
      <c r="G67" s="1" t="s">
        <v>2617</v>
      </c>
      <c r="H67" s="1" t="s">
        <v>2618</v>
      </c>
    </row>
    <row r="68" spans="5:8" x14ac:dyDescent="0.2">
      <c r="E68" s="1" t="s">
        <v>2619</v>
      </c>
      <c r="F68" s="16">
        <v>0.15</v>
      </c>
      <c r="G68" s="1" t="s">
        <v>2620</v>
      </c>
      <c r="H68" s="1" t="s">
        <v>2621</v>
      </c>
    </row>
    <row r="69" spans="5:8" x14ac:dyDescent="0.2">
      <c r="E69" s="1" t="s">
        <v>2</v>
      </c>
      <c r="F69" s="16">
        <v>0.15</v>
      </c>
      <c r="G69" s="1" t="s">
        <v>966</v>
      </c>
      <c r="H69" s="1" t="s">
        <v>2622</v>
      </c>
    </row>
    <row r="70" spans="5:8" x14ac:dyDescent="0.2">
      <c r="E70" s="1" t="s">
        <v>2623</v>
      </c>
      <c r="F70" s="16">
        <v>0.15</v>
      </c>
      <c r="G70" s="1" t="s">
        <v>2624</v>
      </c>
      <c r="H70" s="1" t="s">
        <v>2625</v>
      </c>
    </row>
    <row r="72" spans="5:8" ht="15.5" customHeight="1" x14ac:dyDescent="0.2">
      <c r="E72" s="17" t="s">
        <v>2626</v>
      </c>
      <c r="F72" s="17"/>
      <c r="G72" s="17"/>
      <c r="H72" s="17"/>
    </row>
    <row r="73" spans="5:8" x14ac:dyDescent="0.2">
      <c r="E73" s="12" t="s">
        <v>82</v>
      </c>
      <c r="F73" s="12" t="s">
        <v>341</v>
      </c>
      <c r="G73" s="12" t="s">
        <v>931</v>
      </c>
      <c r="H73" s="12" t="s">
        <v>1</v>
      </c>
    </row>
    <row r="74" spans="5:8" x14ac:dyDescent="0.2">
      <c r="E74" s="1" t="s">
        <v>2627</v>
      </c>
      <c r="F74" s="16">
        <v>0.2</v>
      </c>
      <c r="G74" s="1" t="s">
        <v>1200</v>
      </c>
      <c r="H74" s="1" t="s">
        <v>2628</v>
      </c>
    </row>
    <row r="75" spans="5:8" x14ac:dyDescent="0.2">
      <c r="E75" s="1" t="s">
        <v>937</v>
      </c>
      <c r="F75" s="16">
        <v>0.2</v>
      </c>
      <c r="G75" s="1" t="s">
        <v>2027</v>
      </c>
      <c r="H75" s="1" t="s">
        <v>2629</v>
      </c>
    </row>
    <row r="76" spans="5:8" x14ac:dyDescent="0.2">
      <c r="E76" s="1" t="s">
        <v>968</v>
      </c>
      <c r="F76" s="16">
        <v>0.15</v>
      </c>
      <c r="G76" s="1" t="s">
        <v>2630</v>
      </c>
      <c r="H76" s="1" t="s">
        <v>2631</v>
      </c>
    </row>
    <row r="77" spans="5:8" x14ac:dyDescent="0.2">
      <c r="E77" s="1" t="s">
        <v>2632</v>
      </c>
      <c r="F77" s="16">
        <v>0.15</v>
      </c>
      <c r="G77" s="1" t="s">
        <v>2633</v>
      </c>
      <c r="H77" s="1" t="s">
        <v>2634</v>
      </c>
    </row>
    <row r="78" spans="5:8" x14ac:dyDescent="0.2">
      <c r="E78" s="1" t="s">
        <v>2635</v>
      </c>
      <c r="F78" s="16">
        <v>0.15</v>
      </c>
      <c r="G78" s="1" t="s">
        <v>2636</v>
      </c>
      <c r="H78" s="1" t="s">
        <v>2637</v>
      </c>
    </row>
    <row r="79" spans="5:8" x14ac:dyDescent="0.2">
      <c r="E79" s="1" t="s">
        <v>2</v>
      </c>
      <c r="F79" s="16">
        <v>0.15</v>
      </c>
      <c r="G79" s="1" t="s">
        <v>1011</v>
      </c>
      <c r="H79" s="1" t="s">
        <v>2638</v>
      </c>
    </row>
    <row r="81" spans="5:8" ht="15.5" customHeight="1" x14ac:dyDescent="0.2">
      <c r="E81" s="17" t="s">
        <v>2639</v>
      </c>
      <c r="F81" s="17"/>
      <c r="G81" s="17"/>
      <c r="H81" s="17"/>
    </row>
    <row r="82" spans="5:8" x14ac:dyDescent="0.2">
      <c r="E82" s="12" t="s">
        <v>82</v>
      </c>
      <c r="F82" s="12" t="s">
        <v>341</v>
      </c>
      <c r="G82" s="12" t="s">
        <v>931</v>
      </c>
      <c r="H82" s="12" t="s">
        <v>1</v>
      </c>
    </row>
    <row r="83" spans="5:8" x14ac:dyDescent="0.2">
      <c r="E83" s="1" t="s">
        <v>2640</v>
      </c>
      <c r="F83" s="16">
        <v>0.2</v>
      </c>
      <c r="G83" s="1" t="s">
        <v>1153</v>
      </c>
      <c r="H83" s="1" t="s">
        <v>2641</v>
      </c>
    </row>
    <row r="84" spans="5:8" x14ac:dyDescent="0.2">
      <c r="E84" s="1" t="s">
        <v>2642</v>
      </c>
      <c r="F84" s="16">
        <v>0.2</v>
      </c>
      <c r="G84" s="1" t="s">
        <v>2643</v>
      </c>
      <c r="H84" s="1" t="s">
        <v>2644</v>
      </c>
    </row>
    <row r="85" spans="5:8" x14ac:dyDescent="0.2">
      <c r="E85" s="1" t="s">
        <v>2645</v>
      </c>
      <c r="F85" s="16">
        <v>0.15</v>
      </c>
      <c r="G85" s="1" t="s">
        <v>2646</v>
      </c>
      <c r="H85" s="1" t="s">
        <v>2647</v>
      </c>
    </row>
    <row r="86" spans="5:8" x14ac:dyDescent="0.2">
      <c r="E86" s="1" t="s">
        <v>937</v>
      </c>
      <c r="F86" s="16">
        <v>0.15</v>
      </c>
      <c r="G86" s="1" t="s">
        <v>1175</v>
      </c>
      <c r="H86" s="1" t="s">
        <v>2648</v>
      </c>
    </row>
    <row r="87" spans="5:8" x14ac:dyDescent="0.2">
      <c r="E87" s="1" t="s">
        <v>3</v>
      </c>
      <c r="F87" s="16">
        <v>0.15</v>
      </c>
      <c r="G87" s="1" t="s">
        <v>2488</v>
      </c>
      <c r="H87" s="1" t="s">
        <v>2649</v>
      </c>
    </row>
    <row r="88" spans="5:8" x14ac:dyDescent="0.2">
      <c r="E88" s="1" t="s">
        <v>1937</v>
      </c>
      <c r="F88" s="16">
        <v>0.15</v>
      </c>
      <c r="G88" s="1" t="s">
        <v>2650</v>
      </c>
      <c r="H88" s="1" t="s">
        <v>2651</v>
      </c>
    </row>
    <row r="90" spans="5:8" ht="15.5" customHeight="1" x14ac:dyDescent="0.2">
      <c r="E90" s="17" t="s">
        <v>2652</v>
      </c>
      <c r="F90" s="17"/>
      <c r="G90" s="17"/>
      <c r="H90" s="17"/>
    </row>
    <row r="91" spans="5:8" x14ac:dyDescent="0.2">
      <c r="E91" s="12" t="s">
        <v>82</v>
      </c>
      <c r="F91" s="12" t="s">
        <v>341</v>
      </c>
      <c r="G91" s="12" t="s">
        <v>931</v>
      </c>
      <c r="H91" s="12" t="s">
        <v>1</v>
      </c>
    </row>
    <row r="92" spans="5:8" x14ac:dyDescent="0.2">
      <c r="E92" s="1" t="s">
        <v>933</v>
      </c>
      <c r="F92" s="16">
        <v>0.15</v>
      </c>
      <c r="G92" s="1" t="s">
        <v>2653</v>
      </c>
      <c r="H92" s="1" t="s">
        <v>2654</v>
      </c>
    </row>
    <row r="93" spans="5:8" x14ac:dyDescent="0.2">
      <c r="E93" s="1" t="s">
        <v>2655</v>
      </c>
      <c r="F93" s="16">
        <v>0.2</v>
      </c>
      <c r="G93" s="1" t="s">
        <v>2656</v>
      </c>
      <c r="H93" s="1" t="s">
        <v>2657</v>
      </c>
    </row>
    <row r="94" spans="5:8" x14ac:dyDescent="0.2">
      <c r="E94" s="1" t="s">
        <v>2658</v>
      </c>
      <c r="F94" s="16">
        <v>0.2</v>
      </c>
      <c r="G94" s="1" t="s">
        <v>2659</v>
      </c>
      <c r="H94" s="1" t="s">
        <v>2660</v>
      </c>
    </row>
    <row r="95" spans="5:8" x14ac:dyDescent="0.2">
      <c r="E95" s="1" t="s">
        <v>968</v>
      </c>
      <c r="F95" s="16">
        <v>0.15</v>
      </c>
      <c r="G95" s="1" t="s">
        <v>2661</v>
      </c>
      <c r="H95" s="1" t="s">
        <v>2662</v>
      </c>
    </row>
    <row r="96" spans="5:8" x14ac:dyDescent="0.2">
      <c r="E96" s="1" t="s">
        <v>2663</v>
      </c>
      <c r="F96" s="16">
        <v>0.15</v>
      </c>
      <c r="G96" s="1" t="s">
        <v>2664</v>
      </c>
      <c r="H96" s="1" t="s">
        <v>2665</v>
      </c>
    </row>
    <row r="97" spans="5:8" x14ac:dyDescent="0.2">
      <c r="E97" s="1" t="s">
        <v>2</v>
      </c>
      <c r="F97" s="16">
        <v>0.15</v>
      </c>
      <c r="G97" s="1" t="s">
        <v>2666</v>
      </c>
      <c r="H97" s="1" t="s">
        <v>2667</v>
      </c>
    </row>
    <row r="99" spans="5:8" ht="15.5" customHeight="1" x14ac:dyDescent="0.2">
      <c r="E99" s="17" t="s">
        <v>2668</v>
      </c>
      <c r="F99" s="17"/>
      <c r="G99" s="17"/>
      <c r="H99" s="17"/>
    </row>
    <row r="100" spans="5:8" x14ac:dyDescent="0.2">
      <c r="E100" s="12" t="s">
        <v>82</v>
      </c>
      <c r="F100" s="12" t="s">
        <v>341</v>
      </c>
      <c r="G100" s="12" t="s">
        <v>931</v>
      </c>
      <c r="H100" s="12" t="s">
        <v>1</v>
      </c>
    </row>
    <row r="101" spans="5:8" x14ac:dyDescent="0.2">
      <c r="E101" s="1" t="s">
        <v>2669</v>
      </c>
      <c r="F101" s="16">
        <v>0.2</v>
      </c>
      <c r="G101" s="1" t="s">
        <v>2670</v>
      </c>
      <c r="H101" s="1" t="s">
        <v>2671</v>
      </c>
    </row>
    <row r="102" spans="5:8" x14ac:dyDescent="0.2">
      <c r="E102" s="1" t="s">
        <v>2658</v>
      </c>
      <c r="F102" s="16">
        <v>0.2</v>
      </c>
      <c r="G102" s="1" t="s">
        <v>2672</v>
      </c>
      <c r="H102" s="1" t="s">
        <v>2673</v>
      </c>
    </row>
    <row r="103" spans="5:8" x14ac:dyDescent="0.2">
      <c r="E103" s="1" t="s">
        <v>2674</v>
      </c>
      <c r="F103" s="16">
        <v>0.15</v>
      </c>
      <c r="G103" s="1" t="s">
        <v>2675</v>
      </c>
      <c r="H103" s="1" t="s">
        <v>2676</v>
      </c>
    </row>
    <row r="104" spans="5:8" x14ac:dyDescent="0.2">
      <c r="E104" s="1" t="s">
        <v>2677</v>
      </c>
      <c r="F104" s="16">
        <v>0.15</v>
      </c>
      <c r="G104" s="1" t="s">
        <v>2678</v>
      </c>
      <c r="H104" s="1" t="s">
        <v>2679</v>
      </c>
    </row>
    <row r="105" spans="5:8" x14ac:dyDescent="0.2">
      <c r="E105" s="1" t="s">
        <v>2680</v>
      </c>
      <c r="F105" s="16">
        <v>0.15</v>
      </c>
      <c r="G105" s="1" t="s">
        <v>2681</v>
      </c>
      <c r="H105" s="1" t="s">
        <v>2682</v>
      </c>
    </row>
    <row r="106" spans="5:8" x14ac:dyDescent="0.2">
      <c r="E106" s="1" t="s">
        <v>2683</v>
      </c>
      <c r="F106" s="16">
        <v>0.15</v>
      </c>
      <c r="G106" s="1" t="s">
        <v>2684</v>
      </c>
      <c r="H106" s="1" t="s">
        <v>2685</v>
      </c>
    </row>
    <row r="108" spans="5:8" ht="15.5" customHeight="1" x14ac:dyDescent="0.2">
      <c r="E108" s="17" t="s">
        <v>2686</v>
      </c>
      <c r="F108" s="17"/>
      <c r="G108" s="17"/>
      <c r="H108" s="17"/>
    </row>
    <row r="109" spans="5:8" x14ac:dyDescent="0.2">
      <c r="E109" s="12" t="s">
        <v>82</v>
      </c>
      <c r="F109" s="12" t="s">
        <v>341</v>
      </c>
      <c r="G109" s="12" t="s">
        <v>931</v>
      </c>
      <c r="H109" s="12" t="s">
        <v>1</v>
      </c>
    </row>
    <row r="110" spans="5:8" x14ac:dyDescent="0.2">
      <c r="E110" s="1" t="s">
        <v>2687</v>
      </c>
      <c r="F110" s="16">
        <v>0.2</v>
      </c>
      <c r="G110" s="1" t="s">
        <v>1857</v>
      </c>
      <c r="H110" s="1" t="s">
        <v>2688</v>
      </c>
    </row>
    <row r="111" spans="5:8" x14ac:dyDescent="0.2">
      <c r="E111" s="1" t="s">
        <v>2689</v>
      </c>
      <c r="F111" s="16">
        <v>0.2</v>
      </c>
      <c r="G111" s="1" t="s">
        <v>2690</v>
      </c>
      <c r="H111" s="1" t="s">
        <v>2691</v>
      </c>
    </row>
    <row r="112" spans="5:8" x14ac:dyDescent="0.2">
      <c r="E112" s="1" t="s">
        <v>2692</v>
      </c>
      <c r="F112" s="16">
        <v>0.15</v>
      </c>
      <c r="G112" s="1" t="s">
        <v>2693</v>
      </c>
      <c r="H112" s="1" t="s">
        <v>2694</v>
      </c>
    </row>
    <row r="113" spans="5:8" x14ac:dyDescent="0.2">
      <c r="E113" s="1" t="s">
        <v>937</v>
      </c>
      <c r="F113" s="16">
        <v>0.15</v>
      </c>
      <c r="G113" s="1" t="s">
        <v>1175</v>
      </c>
      <c r="H113" s="1" t="s">
        <v>2695</v>
      </c>
    </row>
    <row r="114" spans="5:8" x14ac:dyDescent="0.2">
      <c r="E114" s="1" t="s">
        <v>2696</v>
      </c>
      <c r="F114" s="16">
        <v>0.15</v>
      </c>
      <c r="G114" s="1" t="s">
        <v>1379</v>
      </c>
      <c r="H114" s="1" t="s">
        <v>2697</v>
      </c>
    </row>
    <row r="115" spans="5:8" x14ac:dyDescent="0.2">
      <c r="E115" s="1" t="s">
        <v>2698</v>
      </c>
      <c r="F115" s="16">
        <v>0.15</v>
      </c>
      <c r="G115" s="1" t="s">
        <v>2699</v>
      </c>
      <c r="H115" s="1" t="s">
        <v>2700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H74"/>
  <sheetViews>
    <sheetView topLeftCell="C1" zoomScale="77" workbookViewId="0">
      <selection activeCell="E2" sqref="E2"/>
    </sheetView>
  </sheetViews>
  <sheetFormatPr baseColWidth="10" defaultColWidth="8.83203125" defaultRowHeight="15" x14ac:dyDescent="0.2"/>
  <cols>
    <col min="1" max="1" width="2.83203125" customWidth="1"/>
    <col min="3" max="3" width="40.1640625" bestFit="1" customWidth="1"/>
    <col min="5" max="5" width="39.6640625" bestFit="1" customWidth="1"/>
    <col min="6" max="6" width="19.33203125" customWidth="1"/>
    <col min="7" max="7" width="20" bestFit="1" customWidth="1"/>
    <col min="8" max="8" width="165" bestFit="1" customWidth="1"/>
  </cols>
  <sheetData>
    <row r="2" spans="2:8" ht="17.5" customHeight="1" x14ac:dyDescent="0.2">
      <c r="B2" s="2" t="s">
        <v>81</v>
      </c>
      <c r="C2" s="4" t="s">
        <v>2701</v>
      </c>
      <c r="E2" s="8" t="s">
        <v>930</v>
      </c>
      <c r="F2" s="8" t="s">
        <v>341</v>
      </c>
      <c r="G2" s="12" t="s">
        <v>931</v>
      </c>
      <c r="H2" s="12" t="s">
        <v>1</v>
      </c>
    </row>
    <row r="3" spans="2:8" ht="16" x14ac:dyDescent="0.2">
      <c r="B3" s="1">
        <v>1</v>
      </c>
      <c r="C3" s="5" t="s">
        <v>2702</v>
      </c>
      <c r="E3" s="9" t="s">
        <v>2703</v>
      </c>
      <c r="F3" s="10">
        <v>0.2</v>
      </c>
      <c r="G3" s="14" t="s">
        <v>2704</v>
      </c>
      <c r="H3" s="1" t="s">
        <v>2705</v>
      </c>
    </row>
    <row r="4" spans="2:8" ht="16" x14ac:dyDescent="0.2">
      <c r="B4" s="1">
        <v>2</v>
      </c>
      <c r="C4" s="5" t="s">
        <v>2706</v>
      </c>
      <c r="E4" s="9" t="s">
        <v>1870</v>
      </c>
      <c r="F4" s="10">
        <v>0.2</v>
      </c>
      <c r="G4" s="14" t="s">
        <v>2707</v>
      </c>
      <c r="H4" s="1" t="s">
        <v>2708</v>
      </c>
    </row>
    <row r="5" spans="2:8" ht="16" x14ac:dyDescent="0.2">
      <c r="B5" s="1">
        <v>3</v>
      </c>
      <c r="C5" s="5" t="s">
        <v>2709</v>
      </c>
      <c r="E5" s="9" t="s">
        <v>2658</v>
      </c>
      <c r="F5" s="10">
        <v>0.15</v>
      </c>
      <c r="G5" s="14" t="s">
        <v>2710</v>
      </c>
      <c r="H5" s="1" t="s">
        <v>2711</v>
      </c>
    </row>
    <row r="6" spans="2:8" ht="16" x14ac:dyDescent="0.2">
      <c r="B6" s="1">
        <v>4</v>
      </c>
      <c r="C6" s="5" t="s">
        <v>2712</v>
      </c>
      <c r="E6" s="9" t="s">
        <v>2713</v>
      </c>
      <c r="F6" s="10">
        <v>0.15</v>
      </c>
      <c r="G6" s="14" t="s">
        <v>2714</v>
      </c>
      <c r="H6" s="1" t="s">
        <v>2715</v>
      </c>
    </row>
    <row r="7" spans="2:8" ht="16" x14ac:dyDescent="0.2">
      <c r="B7" s="1">
        <v>5</v>
      </c>
      <c r="C7" s="1" t="s">
        <v>2716</v>
      </c>
      <c r="E7" s="9" t="s">
        <v>2717</v>
      </c>
      <c r="F7" s="10">
        <v>0.1</v>
      </c>
      <c r="G7" s="14" t="s">
        <v>2718</v>
      </c>
      <c r="H7" s="1" t="s">
        <v>2719</v>
      </c>
    </row>
    <row r="8" spans="2:8" ht="16" x14ac:dyDescent="0.2">
      <c r="B8" s="1">
        <v>6</v>
      </c>
      <c r="C8" s="1" t="s">
        <v>2720</v>
      </c>
      <c r="E8" s="9" t="s">
        <v>2</v>
      </c>
      <c r="F8" s="10">
        <v>0.1</v>
      </c>
      <c r="G8" s="14" t="s">
        <v>1040</v>
      </c>
      <c r="H8" s="1" t="s">
        <v>2721</v>
      </c>
    </row>
    <row r="9" spans="2:8" ht="16" x14ac:dyDescent="0.2">
      <c r="B9" s="1">
        <v>7</v>
      </c>
      <c r="C9" s="1" t="s">
        <v>2722</v>
      </c>
      <c r="E9" s="9" t="s">
        <v>2723</v>
      </c>
      <c r="F9" s="10">
        <v>0.1</v>
      </c>
      <c r="G9" s="14" t="s">
        <v>2724</v>
      </c>
      <c r="H9" s="1" t="s">
        <v>2725</v>
      </c>
    </row>
    <row r="11" spans="2:8" ht="15.5" customHeight="1" x14ac:dyDescent="0.2">
      <c r="E11" s="17" t="s">
        <v>2726</v>
      </c>
      <c r="F11" s="23"/>
      <c r="G11" s="15"/>
      <c r="H11" s="15"/>
    </row>
    <row r="12" spans="2:8" x14ac:dyDescent="0.2">
      <c r="E12" s="19" t="s">
        <v>82</v>
      </c>
      <c r="F12" s="19" t="s">
        <v>341</v>
      </c>
      <c r="G12" s="12" t="s">
        <v>931</v>
      </c>
      <c r="H12" s="12" t="s">
        <v>1</v>
      </c>
    </row>
    <row r="13" spans="2:8" x14ac:dyDescent="0.2">
      <c r="E13" s="24" t="s">
        <v>2727</v>
      </c>
      <c r="F13" s="25">
        <v>0.15</v>
      </c>
      <c r="G13" s="1" t="s">
        <v>964</v>
      </c>
      <c r="H13" s="1" t="s">
        <v>2728</v>
      </c>
    </row>
    <row r="14" spans="2:8" x14ac:dyDescent="0.2">
      <c r="E14" s="24" t="s">
        <v>141</v>
      </c>
      <c r="F14" s="25">
        <v>0.15</v>
      </c>
      <c r="G14" s="1" t="s">
        <v>2707</v>
      </c>
      <c r="H14" s="1" t="s">
        <v>2729</v>
      </c>
    </row>
    <row r="15" spans="2:8" x14ac:dyDescent="0.2">
      <c r="E15" s="1" t="s">
        <v>2730</v>
      </c>
      <c r="F15" s="16">
        <v>0.15</v>
      </c>
      <c r="G15" s="1" t="s">
        <v>2731</v>
      </c>
      <c r="H15" s="1" t="s">
        <v>2732</v>
      </c>
    </row>
    <row r="16" spans="2:8" x14ac:dyDescent="0.2">
      <c r="E16" s="1" t="s">
        <v>2733</v>
      </c>
      <c r="F16" s="16">
        <v>0.15</v>
      </c>
      <c r="G16" s="1" t="s">
        <v>2734</v>
      </c>
      <c r="H16" s="1" t="s">
        <v>2735</v>
      </c>
    </row>
    <row r="17" spans="5:8" x14ac:dyDescent="0.2">
      <c r="E17" s="1" t="s">
        <v>2736</v>
      </c>
      <c r="F17" s="16">
        <v>0.1</v>
      </c>
      <c r="G17" s="1" t="s">
        <v>2737</v>
      </c>
      <c r="H17" s="1" t="s">
        <v>2738</v>
      </c>
    </row>
    <row r="18" spans="5:8" x14ac:dyDescent="0.2">
      <c r="E18" s="1" t="s">
        <v>2739</v>
      </c>
      <c r="F18" s="16">
        <v>0.1</v>
      </c>
      <c r="G18" s="1" t="s">
        <v>2740</v>
      </c>
      <c r="H18" s="1" t="s">
        <v>2741</v>
      </c>
    </row>
    <row r="19" spans="5:8" x14ac:dyDescent="0.2">
      <c r="E19" s="1" t="s">
        <v>2</v>
      </c>
      <c r="F19" s="16">
        <v>0.1</v>
      </c>
      <c r="G19" s="1" t="s">
        <v>2020</v>
      </c>
      <c r="H19" s="1" t="s">
        <v>2742</v>
      </c>
    </row>
    <row r="20" spans="5:8" x14ac:dyDescent="0.2">
      <c r="E20" s="1" t="s">
        <v>1545</v>
      </c>
      <c r="F20" s="16">
        <v>0.1</v>
      </c>
      <c r="G20" s="1" t="s">
        <v>2061</v>
      </c>
      <c r="H20" s="1" t="s">
        <v>2743</v>
      </c>
    </row>
    <row r="21" spans="5:8" x14ac:dyDescent="0.2">
      <c r="E21" s="1"/>
      <c r="F21" s="1"/>
      <c r="G21" s="1"/>
      <c r="H21" s="1"/>
    </row>
    <row r="22" spans="5:8" ht="15.5" customHeight="1" x14ac:dyDescent="0.2">
      <c r="E22" s="17" t="s">
        <v>2744</v>
      </c>
      <c r="F22" s="15"/>
      <c r="G22" s="15"/>
      <c r="H22" s="15"/>
    </row>
    <row r="23" spans="5:8" x14ac:dyDescent="0.2">
      <c r="E23" s="12" t="s">
        <v>82</v>
      </c>
      <c r="F23" s="12" t="s">
        <v>341</v>
      </c>
      <c r="G23" s="12" t="s">
        <v>931</v>
      </c>
      <c r="H23" s="12" t="s">
        <v>1</v>
      </c>
    </row>
    <row r="24" spans="5:8" x14ac:dyDescent="0.2">
      <c r="E24" s="1" t="s">
        <v>933</v>
      </c>
      <c r="F24" s="16">
        <v>0.2</v>
      </c>
      <c r="G24" s="1" t="s">
        <v>2745</v>
      </c>
      <c r="H24" s="1" t="s">
        <v>2746</v>
      </c>
    </row>
    <row r="25" spans="5:8" x14ac:dyDescent="0.2">
      <c r="E25" s="1" t="s">
        <v>2747</v>
      </c>
      <c r="F25" s="16">
        <v>0.2</v>
      </c>
      <c r="G25" s="1" t="s">
        <v>2748</v>
      </c>
      <c r="H25" s="1" t="s">
        <v>2749</v>
      </c>
    </row>
    <row r="26" spans="5:8" x14ac:dyDescent="0.2">
      <c r="E26" s="1" t="s">
        <v>1421</v>
      </c>
      <c r="F26" s="16">
        <v>0.15</v>
      </c>
      <c r="G26" s="1" t="s">
        <v>1829</v>
      </c>
      <c r="H26" s="1" t="s">
        <v>2750</v>
      </c>
    </row>
    <row r="27" spans="5:8" x14ac:dyDescent="0.2">
      <c r="E27" s="1" t="s">
        <v>2379</v>
      </c>
      <c r="F27" s="16">
        <v>0.15</v>
      </c>
      <c r="G27" s="1" t="s">
        <v>2751</v>
      </c>
      <c r="H27" s="1" t="s">
        <v>2752</v>
      </c>
    </row>
    <row r="28" spans="5:8" x14ac:dyDescent="0.2">
      <c r="E28" s="1" t="s">
        <v>2753</v>
      </c>
      <c r="F28" s="16">
        <v>0.15</v>
      </c>
      <c r="G28" s="1" t="s">
        <v>2754</v>
      </c>
      <c r="H28" s="1" t="s">
        <v>2755</v>
      </c>
    </row>
    <row r="29" spans="5:8" x14ac:dyDescent="0.2">
      <c r="E29" s="1" t="s">
        <v>991</v>
      </c>
      <c r="F29" s="16">
        <v>0.1</v>
      </c>
      <c r="G29" s="1" t="s">
        <v>2756</v>
      </c>
      <c r="H29" s="1" t="s">
        <v>2757</v>
      </c>
    </row>
    <row r="30" spans="5:8" x14ac:dyDescent="0.2">
      <c r="E30" s="1" t="s">
        <v>2758</v>
      </c>
      <c r="F30" s="16">
        <v>0.05</v>
      </c>
      <c r="G30" s="1" t="s">
        <v>974</v>
      </c>
      <c r="H30" s="1" t="s">
        <v>2759</v>
      </c>
    </row>
    <row r="31" spans="5:8" x14ac:dyDescent="0.2">
      <c r="E31" s="1"/>
      <c r="F31" s="1"/>
      <c r="G31" s="1"/>
      <c r="H31" s="1"/>
    </row>
    <row r="32" spans="5:8" ht="15.5" customHeight="1" x14ac:dyDescent="0.2">
      <c r="E32" s="17" t="s">
        <v>2760</v>
      </c>
      <c r="F32" s="15"/>
      <c r="G32" s="15"/>
      <c r="H32" s="15"/>
    </row>
    <row r="33" spans="5:8" x14ac:dyDescent="0.2">
      <c r="E33" s="12" t="s">
        <v>82</v>
      </c>
      <c r="F33" s="12" t="s">
        <v>341</v>
      </c>
      <c r="G33" s="12" t="s">
        <v>931</v>
      </c>
      <c r="H33" s="12" t="s">
        <v>1</v>
      </c>
    </row>
    <row r="34" spans="5:8" x14ac:dyDescent="0.2">
      <c r="E34" s="1" t="s">
        <v>308</v>
      </c>
      <c r="F34" s="16">
        <v>0.2</v>
      </c>
      <c r="G34" s="1" t="s">
        <v>2761</v>
      </c>
      <c r="H34" s="1" t="s">
        <v>2762</v>
      </c>
    </row>
    <row r="35" spans="5:8" x14ac:dyDescent="0.2">
      <c r="E35" s="1" t="s">
        <v>141</v>
      </c>
      <c r="F35" s="16">
        <v>0.15</v>
      </c>
      <c r="G35" s="1" t="s">
        <v>2763</v>
      </c>
      <c r="H35" s="1" t="s">
        <v>2764</v>
      </c>
    </row>
    <row r="36" spans="5:8" x14ac:dyDescent="0.2">
      <c r="E36" s="1" t="s">
        <v>2765</v>
      </c>
      <c r="F36" s="16">
        <v>0.15</v>
      </c>
      <c r="G36" s="1" t="s">
        <v>2766</v>
      </c>
      <c r="H36" s="1" t="s">
        <v>2767</v>
      </c>
    </row>
    <row r="37" spans="5:8" x14ac:dyDescent="0.2">
      <c r="E37" s="1" t="s">
        <v>2768</v>
      </c>
      <c r="F37" s="16">
        <v>0.15</v>
      </c>
      <c r="G37" s="1" t="s">
        <v>2769</v>
      </c>
      <c r="H37" s="1" t="s">
        <v>2770</v>
      </c>
    </row>
    <row r="38" spans="5:8" x14ac:dyDescent="0.2">
      <c r="E38" s="1" t="s">
        <v>2771</v>
      </c>
      <c r="F38" s="16">
        <v>0.15</v>
      </c>
      <c r="G38" s="1" t="s">
        <v>964</v>
      </c>
      <c r="H38" s="1" t="s">
        <v>2772</v>
      </c>
    </row>
    <row r="39" spans="5:8" x14ac:dyDescent="0.2">
      <c r="E39" s="1" t="s">
        <v>2773</v>
      </c>
      <c r="F39" s="16">
        <v>0.1</v>
      </c>
      <c r="G39" s="1" t="s">
        <v>2774</v>
      </c>
      <c r="H39" s="1" t="s">
        <v>2775</v>
      </c>
    </row>
    <row r="40" spans="5:8" x14ac:dyDescent="0.2">
      <c r="E40" s="1" t="s">
        <v>2</v>
      </c>
      <c r="F40" s="16">
        <v>0.1</v>
      </c>
      <c r="G40" s="1" t="s">
        <v>1040</v>
      </c>
      <c r="H40" s="1" t="s">
        <v>2776</v>
      </c>
    </row>
    <row r="41" spans="5:8" x14ac:dyDescent="0.2">
      <c r="E41" s="1"/>
      <c r="F41" s="1"/>
      <c r="G41" s="1"/>
      <c r="H41" s="1"/>
    </row>
    <row r="42" spans="5:8" ht="15.5" customHeight="1" x14ac:dyDescent="0.2">
      <c r="E42" s="17" t="s">
        <v>2777</v>
      </c>
      <c r="F42" s="15"/>
      <c r="G42" s="15"/>
      <c r="H42" s="15"/>
    </row>
    <row r="43" spans="5:8" x14ac:dyDescent="0.2">
      <c r="E43" s="12" t="s">
        <v>82</v>
      </c>
      <c r="F43" s="12" t="s">
        <v>341</v>
      </c>
      <c r="G43" s="12" t="s">
        <v>931</v>
      </c>
      <c r="H43" s="12" t="s">
        <v>1</v>
      </c>
    </row>
    <row r="44" spans="5:8" x14ac:dyDescent="0.2">
      <c r="E44" s="1" t="s">
        <v>933</v>
      </c>
      <c r="F44" s="16">
        <v>0.15</v>
      </c>
      <c r="G44" s="1" t="s">
        <v>964</v>
      </c>
      <c r="H44" s="1" t="s">
        <v>2778</v>
      </c>
    </row>
    <row r="45" spans="5:8" x14ac:dyDescent="0.2">
      <c r="E45" s="1" t="s">
        <v>937</v>
      </c>
      <c r="F45" s="16">
        <v>0.15</v>
      </c>
      <c r="G45" s="1" t="s">
        <v>2779</v>
      </c>
      <c r="H45" s="1" t="s">
        <v>2780</v>
      </c>
    </row>
    <row r="46" spans="5:8" x14ac:dyDescent="0.2">
      <c r="E46" s="1" t="s">
        <v>2717</v>
      </c>
      <c r="F46" s="16">
        <v>0.2</v>
      </c>
      <c r="G46" s="1" t="s">
        <v>2781</v>
      </c>
      <c r="H46" s="1" t="s">
        <v>2782</v>
      </c>
    </row>
    <row r="47" spans="5:8" x14ac:dyDescent="0.2">
      <c r="E47" s="1" t="s">
        <v>2783</v>
      </c>
      <c r="F47" s="16">
        <v>0.15</v>
      </c>
      <c r="G47" s="1" t="s">
        <v>2784</v>
      </c>
      <c r="H47" s="1" t="s">
        <v>2785</v>
      </c>
    </row>
    <row r="48" spans="5:8" x14ac:dyDescent="0.2">
      <c r="E48" s="1" t="s">
        <v>2786</v>
      </c>
      <c r="F48" s="16">
        <v>0.15</v>
      </c>
      <c r="G48" s="1" t="s">
        <v>2787</v>
      </c>
      <c r="H48" s="1" t="s">
        <v>2788</v>
      </c>
    </row>
    <row r="49" spans="5:8" x14ac:dyDescent="0.2">
      <c r="E49" s="1" t="s">
        <v>308</v>
      </c>
      <c r="F49" s="16">
        <v>0.1</v>
      </c>
      <c r="G49" s="1" t="s">
        <v>2789</v>
      </c>
      <c r="H49" s="1" t="s">
        <v>2790</v>
      </c>
    </row>
    <row r="50" spans="5:8" x14ac:dyDescent="0.2">
      <c r="E50" s="1" t="s">
        <v>1704</v>
      </c>
      <c r="F50" s="16">
        <v>0.1</v>
      </c>
      <c r="G50" s="1" t="s">
        <v>2791</v>
      </c>
      <c r="H50" s="1" t="s">
        <v>2792</v>
      </c>
    </row>
    <row r="52" spans="5:8" x14ac:dyDescent="0.2">
      <c r="E52" s="117" t="s">
        <v>2793</v>
      </c>
      <c r="F52" s="117" t="s">
        <v>341</v>
      </c>
      <c r="G52" s="117" t="s">
        <v>1210</v>
      </c>
      <c r="H52" s="117" t="s">
        <v>1211</v>
      </c>
    </row>
    <row r="53" spans="5:8" x14ac:dyDescent="0.2">
      <c r="E53" s="105" t="s">
        <v>2794</v>
      </c>
      <c r="F53" s="106">
        <v>0.2</v>
      </c>
      <c r="G53" s="107" t="s">
        <v>2795</v>
      </c>
      <c r="H53" s="105" t="s">
        <v>2796</v>
      </c>
    </row>
    <row r="54" spans="5:8" x14ac:dyDescent="0.2">
      <c r="E54" s="105" t="s">
        <v>2797</v>
      </c>
      <c r="F54" s="106">
        <v>0.2</v>
      </c>
      <c r="G54" s="107" t="s">
        <v>2798</v>
      </c>
      <c r="H54" s="105" t="s">
        <v>2799</v>
      </c>
    </row>
    <row r="55" spans="5:8" x14ac:dyDescent="0.2">
      <c r="E55" s="105" t="s">
        <v>2800</v>
      </c>
      <c r="F55" s="106">
        <v>0.15</v>
      </c>
      <c r="G55" s="107" t="s">
        <v>2801</v>
      </c>
      <c r="H55" s="105" t="s">
        <v>2802</v>
      </c>
    </row>
    <row r="56" spans="5:8" x14ac:dyDescent="0.2">
      <c r="E56" s="105" t="s">
        <v>1421</v>
      </c>
      <c r="F56" s="106">
        <v>0.15</v>
      </c>
      <c r="G56" s="107" t="s">
        <v>2803</v>
      </c>
      <c r="H56" s="105" t="s">
        <v>2804</v>
      </c>
    </row>
    <row r="57" spans="5:8" x14ac:dyDescent="0.2">
      <c r="E57" s="105" t="s">
        <v>2805</v>
      </c>
      <c r="F57" s="106">
        <v>0.15</v>
      </c>
      <c r="G57" s="107" t="s">
        <v>2806</v>
      </c>
      <c r="H57" s="105" t="s">
        <v>2807</v>
      </c>
    </row>
    <row r="58" spans="5:8" x14ac:dyDescent="0.2">
      <c r="E58" s="102" t="s">
        <v>2808</v>
      </c>
      <c r="F58" s="103">
        <v>0.15</v>
      </c>
      <c r="G58" s="104" t="s">
        <v>2809</v>
      </c>
      <c r="H58" s="102" t="s">
        <v>2810</v>
      </c>
    </row>
    <row r="60" spans="5:8" x14ac:dyDescent="0.2">
      <c r="E60" s="117" t="s">
        <v>2811</v>
      </c>
      <c r="F60" s="117" t="s">
        <v>341</v>
      </c>
      <c r="G60" s="117" t="s">
        <v>1210</v>
      </c>
      <c r="H60" s="117" t="s">
        <v>1211</v>
      </c>
    </row>
    <row r="61" spans="5:8" x14ac:dyDescent="0.2">
      <c r="E61" s="105" t="s">
        <v>2812</v>
      </c>
      <c r="F61" s="106">
        <v>0.2</v>
      </c>
      <c r="G61" s="107" t="s">
        <v>2813</v>
      </c>
      <c r="H61" s="105" t="s">
        <v>2814</v>
      </c>
    </row>
    <row r="62" spans="5:8" x14ac:dyDescent="0.2">
      <c r="E62" s="105" t="s">
        <v>2815</v>
      </c>
      <c r="F62" s="106">
        <v>0.2</v>
      </c>
      <c r="G62" s="107" t="s">
        <v>2816</v>
      </c>
      <c r="H62" s="105" t="s">
        <v>2817</v>
      </c>
    </row>
    <row r="63" spans="5:8" x14ac:dyDescent="0.2">
      <c r="E63" s="105" t="s">
        <v>2818</v>
      </c>
      <c r="F63" s="106">
        <v>0.2</v>
      </c>
      <c r="G63" s="107" t="s">
        <v>2819</v>
      </c>
      <c r="H63" s="105" t="s">
        <v>2820</v>
      </c>
    </row>
    <row r="64" spans="5:8" x14ac:dyDescent="0.2">
      <c r="E64" s="105" t="s">
        <v>933</v>
      </c>
      <c r="F64" s="106">
        <v>0.15</v>
      </c>
      <c r="G64" s="107" t="s">
        <v>2821</v>
      </c>
      <c r="H64" s="105" t="s">
        <v>2822</v>
      </c>
    </row>
    <row r="65" spans="5:8" x14ac:dyDescent="0.2">
      <c r="E65" s="105" t="s">
        <v>937</v>
      </c>
      <c r="F65" s="106">
        <v>0.15</v>
      </c>
      <c r="G65" s="107" t="s">
        <v>2823</v>
      </c>
      <c r="H65" s="105" t="s">
        <v>2824</v>
      </c>
    </row>
    <row r="66" spans="5:8" x14ac:dyDescent="0.2">
      <c r="E66" s="102" t="s">
        <v>2825</v>
      </c>
      <c r="F66" s="103">
        <v>0.1</v>
      </c>
      <c r="G66" s="104" t="s">
        <v>2826</v>
      </c>
      <c r="H66" s="102" t="s">
        <v>2827</v>
      </c>
    </row>
    <row r="68" spans="5:8" x14ac:dyDescent="0.2">
      <c r="E68" s="117" t="s">
        <v>2828</v>
      </c>
      <c r="F68" s="117" t="s">
        <v>341</v>
      </c>
      <c r="G68" s="117" t="s">
        <v>1210</v>
      </c>
      <c r="H68" s="117" t="s">
        <v>1211</v>
      </c>
    </row>
    <row r="69" spans="5:8" x14ac:dyDescent="0.2">
      <c r="E69" s="105" t="s">
        <v>2829</v>
      </c>
      <c r="F69" s="106">
        <v>0.2</v>
      </c>
      <c r="G69" s="107" t="s">
        <v>2830</v>
      </c>
      <c r="H69" s="105" t="s">
        <v>2831</v>
      </c>
    </row>
    <row r="70" spans="5:8" x14ac:dyDescent="0.2">
      <c r="E70" s="105" t="s">
        <v>2832</v>
      </c>
      <c r="F70" s="106">
        <v>0.2</v>
      </c>
      <c r="G70" s="107" t="s">
        <v>2833</v>
      </c>
      <c r="H70" s="105" t="s">
        <v>2834</v>
      </c>
    </row>
    <row r="71" spans="5:8" x14ac:dyDescent="0.2">
      <c r="E71" s="105" t="s">
        <v>937</v>
      </c>
      <c r="F71" s="106">
        <v>0.15</v>
      </c>
      <c r="G71" s="107" t="s">
        <v>2835</v>
      </c>
      <c r="H71" s="105" t="s">
        <v>2836</v>
      </c>
    </row>
    <row r="72" spans="5:8" x14ac:dyDescent="0.2">
      <c r="E72" s="105" t="s">
        <v>2837</v>
      </c>
      <c r="F72" s="106">
        <v>0.15</v>
      </c>
      <c r="G72" s="107" t="s">
        <v>2838</v>
      </c>
      <c r="H72" s="105" t="s">
        <v>2839</v>
      </c>
    </row>
    <row r="73" spans="5:8" x14ac:dyDescent="0.2">
      <c r="E73" s="105" t="s">
        <v>2840</v>
      </c>
      <c r="F73" s="106">
        <v>0.15</v>
      </c>
      <c r="G73" s="107" t="s">
        <v>2841</v>
      </c>
      <c r="H73" s="105" t="s">
        <v>2842</v>
      </c>
    </row>
    <row r="74" spans="5:8" x14ac:dyDescent="0.2">
      <c r="E74" s="102" t="s">
        <v>2</v>
      </c>
      <c r="F74" s="103">
        <v>0.15</v>
      </c>
      <c r="G74" s="104" t="s">
        <v>2843</v>
      </c>
      <c r="H74" s="102" t="s">
        <v>2844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H46"/>
  <sheetViews>
    <sheetView workbookViewId="0">
      <pane ySplit="1" topLeftCell="A2" activePane="bottomLeft" state="frozen"/>
      <selection pane="bottomLeft" activeCell="E2" sqref="E2"/>
    </sheetView>
  </sheetViews>
  <sheetFormatPr baseColWidth="10" defaultColWidth="8.83203125" defaultRowHeight="15" x14ac:dyDescent="0.2"/>
  <cols>
    <col min="1" max="1" width="2.6640625" customWidth="1"/>
    <col min="2" max="2" width="5.5" customWidth="1"/>
    <col min="3" max="3" width="36.33203125" customWidth="1"/>
    <col min="4" max="4" width="2.6640625" customWidth="1"/>
    <col min="5" max="5" width="36.33203125" customWidth="1"/>
    <col min="6" max="6" width="9.1640625" customWidth="1"/>
    <col min="7" max="7" width="36.33203125" customWidth="1"/>
    <col min="8" max="8" width="90.83203125" customWidth="1"/>
  </cols>
  <sheetData>
    <row r="2" spans="2:8" ht="17" customHeight="1" x14ac:dyDescent="0.2">
      <c r="B2" s="84" t="s">
        <v>81</v>
      </c>
      <c r="C2" s="85" t="s">
        <v>2845</v>
      </c>
      <c r="E2" s="90" t="s">
        <v>930</v>
      </c>
      <c r="F2" s="90" t="s">
        <v>341</v>
      </c>
      <c r="G2" s="90" t="s">
        <v>931</v>
      </c>
      <c r="H2" s="91" t="s">
        <v>1091</v>
      </c>
    </row>
    <row r="3" spans="2:8" x14ac:dyDescent="0.2">
      <c r="B3" s="86">
        <v>1</v>
      </c>
      <c r="C3" s="87" t="s">
        <v>2846</v>
      </c>
      <c r="E3" s="94" t="s">
        <v>933</v>
      </c>
      <c r="F3" s="108">
        <v>0.2</v>
      </c>
      <c r="G3" s="109" t="s">
        <v>2847</v>
      </c>
      <c r="H3" s="97" t="s">
        <v>2848</v>
      </c>
    </row>
    <row r="4" spans="2:8" x14ac:dyDescent="0.2">
      <c r="B4" s="86">
        <v>2</v>
      </c>
      <c r="C4" s="87" t="s">
        <v>2849</v>
      </c>
      <c r="E4" s="86" t="s">
        <v>2850</v>
      </c>
      <c r="F4" s="108">
        <v>0.2</v>
      </c>
      <c r="G4" s="109" t="s">
        <v>2851</v>
      </c>
      <c r="H4" s="87" t="s">
        <v>2852</v>
      </c>
    </row>
    <row r="5" spans="2:8" x14ac:dyDescent="0.2">
      <c r="B5" s="86">
        <v>3</v>
      </c>
      <c r="C5" s="87" t="s">
        <v>2853</v>
      </c>
      <c r="E5" s="86" t="s">
        <v>308</v>
      </c>
      <c r="F5" s="108">
        <v>0.15</v>
      </c>
      <c r="G5" s="109" t="s">
        <v>2854</v>
      </c>
      <c r="H5" s="87" t="s">
        <v>2855</v>
      </c>
    </row>
    <row r="6" spans="2:8" x14ac:dyDescent="0.2">
      <c r="B6" s="88">
        <v>4</v>
      </c>
      <c r="C6" s="89" t="s">
        <v>2856</v>
      </c>
      <c r="E6" s="88" t="s">
        <v>2</v>
      </c>
      <c r="F6" s="110">
        <v>0.15</v>
      </c>
      <c r="G6" s="111" t="s">
        <v>2857</v>
      </c>
      <c r="H6" s="89" t="s">
        <v>2858</v>
      </c>
    </row>
    <row r="8" spans="2:8" ht="15.5" customHeight="1" x14ac:dyDescent="0.2">
      <c r="E8" s="100" t="s">
        <v>2859</v>
      </c>
      <c r="F8" s="100"/>
      <c r="G8" s="100"/>
      <c r="H8" s="100"/>
    </row>
    <row r="9" spans="2:8" x14ac:dyDescent="0.2">
      <c r="E9" s="101" t="s">
        <v>82</v>
      </c>
      <c r="F9" s="101" t="s">
        <v>341</v>
      </c>
      <c r="G9" s="101" t="s">
        <v>931</v>
      </c>
      <c r="H9" s="101" t="s">
        <v>1</v>
      </c>
    </row>
    <row r="10" spans="2:8" x14ac:dyDescent="0.2">
      <c r="E10" s="105" t="s">
        <v>2860</v>
      </c>
      <c r="F10" s="106">
        <v>0.2</v>
      </c>
      <c r="G10" s="107" t="s">
        <v>2861</v>
      </c>
      <c r="H10" s="105" t="s">
        <v>2862</v>
      </c>
    </row>
    <row r="11" spans="2:8" x14ac:dyDescent="0.2">
      <c r="E11" s="105" t="s">
        <v>2863</v>
      </c>
      <c r="F11" s="106">
        <v>0.15</v>
      </c>
      <c r="G11" s="107" t="s">
        <v>2864</v>
      </c>
      <c r="H11" s="105" t="s">
        <v>2865</v>
      </c>
    </row>
    <row r="12" spans="2:8" x14ac:dyDescent="0.2">
      <c r="E12" s="105" t="s">
        <v>937</v>
      </c>
      <c r="F12" s="106">
        <v>0.15</v>
      </c>
      <c r="G12" s="107" t="s">
        <v>2866</v>
      </c>
      <c r="H12" s="105" t="s">
        <v>2867</v>
      </c>
    </row>
    <row r="13" spans="2:8" x14ac:dyDescent="0.2">
      <c r="E13" s="105" t="s">
        <v>2868</v>
      </c>
      <c r="F13" s="106">
        <v>0.15</v>
      </c>
      <c r="G13" s="107" t="s">
        <v>2869</v>
      </c>
      <c r="H13" s="105" t="s">
        <v>2870</v>
      </c>
    </row>
    <row r="14" spans="2:8" x14ac:dyDescent="0.2">
      <c r="E14" s="105" t="s">
        <v>2736</v>
      </c>
      <c r="F14" s="106">
        <v>0.15</v>
      </c>
      <c r="G14" s="107" t="s">
        <v>2871</v>
      </c>
      <c r="H14" s="105" t="s">
        <v>2872</v>
      </c>
    </row>
    <row r="15" spans="2:8" x14ac:dyDescent="0.2">
      <c r="E15" s="105" t="s">
        <v>2873</v>
      </c>
      <c r="F15" s="106">
        <v>0.1</v>
      </c>
      <c r="G15" s="107" t="s">
        <v>2874</v>
      </c>
      <c r="H15" s="105" t="s">
        <v>2875</v>
      </c>
    </row>
    <row r="16" spans="2:8" x14ac:dyDescent="0.2">
      <c r="E16" s="102" t="s">
        <v>2</v>
      </c>
      <c r="F16" s="103">
        <v>0.1</v>
      </c>
      <c r="G16" s="104" t="s">
        <v>974</v>
      </c>
      <c r="H16" s="102" t="s">
        <v>2876</v>
      </c>
    </row>
    <row r="18" spans="5:8" ht="15.5" customHeight="1" x14ac:dyDescent="0.2">
      <c r="E18" s="100" t="s">
        <v>2877</v>
      </c>
      <c r="F18" s="100"/>
      <c r="G18" s="100"/>
      <c r="H18" s="100"/>
    </row>
    <row r="19" spans="5:8" x14ac:dyDescent="0.2">
      <c r="E19" s="101" t="s">
        <v>82</v>
      </c>
      <c r="F19" s="101" t="s">
        <v>341</v>
      </c>
      <c r="G19" s="101" t="s">
        <v>931</v>
      </c>
      <c r="H19" s="101" t="s">
        <v>1</v>
      </c>
    </row>
    <row r="20" spans="5:8" x14ac:dyDescent="0.2">
      <c r="E20" s="105" t="s">
        <v>933</v>
      </c>
      <c r="F20" s="106">
        <v>0.2</v>
      </c>
      <c r="G20" s="107" t="s">
        <v>2878</v>
      </c>
      <c r="H20" s="105" t="s">
        <v>2879</v>
      </c>
    </row>
    <row r="21" spans="5:8" x14ac:dyDescent="0.2">
      <c r="E21" s="105" t="s">
        <v>2880</v>
      </c>
      <c r="F21" s="106">
        <v>0.2</v>
      </c>
      <c r="G21" s="107" t="s">
        <v>2881</v>
      </c>
      <c r="H21" s="105" t="s">
        <v>2882</v>
      </c>
    </row>
    <row r="22" spans="5:8" x14ac:dyDescent="0.2">
      <c r="E22" s="105" t="s">
        <v>937</v>
      </c>
      <c r="F22" s="106">
        <v>0.15</v>
      </c>
      <c r="G22" s="107" t="s">
        <v>2883</v>
      </c>
      <c r="H22" s="105" t="s">
        <v>2884</v>
      </c>
    </row>
    <row r="23" spans="5:8" x14ac:dyDescent="0.2">
      <c r="E23" s="105" t="s">
        <v>2885</v>
      </c>
      <c r="F23" s="106">
        <v>0.15</v>
      </c>
      <c r="G23" s="107" t="s">
        <v>2886</v>
      </c>
      <c r="H23" s="105" t="s">
        <v>2887</v>
      </c>
    </row>
    <row r="24" spans="5:8" x14ac:dyDescent="0.2">
      <c r="E24" s="105" t="s">
        <v>2888</v>
      </c>
      <c r="F24" s="106">
        <v>0.15</v>
      </c>
      <c r="G24" s="107" t="s">
        <v>2889</v>
      </c>
      <c r="H24" s="105" t="s">
        <v>2890</v>
      </c>
    </row>
    <row r="25" spans="5:8" x14ac:dyDescent="0.2">
      <c r="E25" s="105" t="s">
        <v>2873</v>
      </c>
      <c r="F25" s="106">
        <v>0.1</v>
      </c>
      <c r="G25" s="107" t="s">
        <v>2891</v>
      </c>
      <c r="H25" s="105" t="s">
        <v>2892</v>
      </c>
    </row>
    <row r="26" spans="5:8" x14ac:dyDescent="0.2">
      <c r="E26" s="102" t="s">
        <v>2</v>
      </c>
      <c r="F26" s="103">
        <v>0.05</v>
      </c>
      <c r="G26" s="104" t="s">
        <v>1011</v>
      </c>
      <c r="H26" s="102" t="s">
        <v>2893</v>
      </c>
    </row>
    <row r="28" spans="5:8" ht="15.5" customHeight="1" x14ac:dyDescent="0.2">
      <c r="E28" s="100" t="s">
        <v>2894</v>
      </c>
      <c r="F28" s="100"/>
      <c r="G28" s="100"/>
      <c r="H28" s="100"/>
    </row>
    <row r="29" spans="5:8" x14ac:dyDescent="0.2">
      <c r="E29" s="101" t="s">
        <v>82</v>
      </c>
      <c r="F29" s="101" t="s">
        <v>341</v>
      </c>
      <c r="G29" s="101" t="s">
        <v>931</v>
      </c>
      <c r="H29" s="101" t="s">
        <v>1</v>
      </c>
    </row>
    <row r="30" spans="5:8" x14ac:dyDescent="0.2">
      <c r="E30" s="105" t="s">
        <v>2895</v>
      </c>
      <c r="F30" s="106">
        <v>0.2</v>
      </c>
      <c r="G30" s="107" t="s">
        <v>2896</v>
      </c>
      <c r="H30" s="105" t="s">
        <v>2897</v>
      </c>
    </row>
    <row r="31" spans="5:8" x14ac:dyDescent="0.2">
      <c r="E31" s="105" t="s">
        <v>2898</v>
      </c>
      <c r="F31" s="106">
        <v>0.2</v>
      </c>
      <c r="G31" s="107" t="s">
        <v>2899</v>
      </c>
      <c r="H31" s="105" t="s">
        <v>2900</v>
      </c>
    </row>
    <row r="32" spans="5:8" x14ac:dyDescent="0.2">
      <c r="E32" s="105" t="s">
        <v>937</v>
      </c>
      <c r="F32" s="106">
        <v>0.15</v>
      </c>
      <c r="G32" s="107" t="s">
        <v>2901</v>
      </c>
      <c r="H32" s="105" t="s">
        <v>2902</v>
      </c>
    </row>
    <row r="33" spans="5:8" x14ac:dyDescent="0.2">
      <c r="E33" s="105" t="s">
        <v>2903</v>
      </c>
      <c r="F33" s="106">
        <v>0.15</v>
      </c>
      <c r="G33" s="107" t="s">
        <v>2904</v>
      </c>
      <c r="H33" s="105" t="s">
        <v>2905</v>
      </c>
    </row>
    <row r="34" spans="5:8" x14ac:dyDescent="0.2">
      <c r="E34" s="105" t="s">
        <v>2906</v>
      </c>
      <c r="F34" s="106">
        <v>0.15</v>
      </c>
      <c r="G34" s="107" t="s">
        <v>2907</v>
      </c>
      <c r="H34" s="105" t="s">
        <v>2908</v>
      </c>
    </row>
    <row r="35" spans="5:8" x14ac:dyDescent="0.2">
      <c r="E35" s="105" t="s">
        <v>308</v>
      </c>
      <c r="F35" s="106">
        <v>0.1</v>
      </c>
      <c r="G35" s="107" t="s">
        <v>2909</v>
      </c>
      <c r="H35" s="105" t="s">
        <v>2910</v>
      </c>
    </row>
    <row r="36" spans="5:8" x14ac:dyDescent="0.2">
      <c r="E36" s="102" t="s">
        <v>2050</v>
      </c>
      <c r="F36" s="103">
        <v>0.05</v>
      </c>
      <c r="G36" s="104" t="s">
        <v>2911</v>
      </c>
      <c r="H36" s="102" t="s">
        <v>2912</v>
      </c>
    </row>
    <row r="38" spans="5:8" ht="15.5" customHeight="1" x14ac:dyDescent="0.2">
      <c r="E38" s="100" t="s">
        <v>2913</v>
      </c>
      <c r="F38" s="100"/>
      <c r="G38" s="100"/>
      <c r="H38" s="100"/>
    </row>
    <row r="39" spans="5:8" x14ac:dyDescent="0.2">
      <c r="E39" s="101" t="s">
        <v>82</v>
      </c>
      <c r="F39" s="101" t="s">
        <v>341</v>
      </c>
      <c r="G39" s="101" t="s">
        <v>931</v>
      </c>
      <c r="H39" s="101" t="s">
        <v>1</v>
      </c>
    </row>
    <row r="40" spans="5:8" x14ac:dyDescent="0.2">
      <c r="E40" s="105" t="s">
        <v>933</v>
      </c>
      <c r="F40" s="106">
        <v>0.2</v>
      </c>
      <c r="G40" s="107" t="s">
        <v>2914</v>
      </c>
      <c r="H40" s="105" t="s">
        <v>2915</v>
      </c>
    </row>
    <row r="41" spans="5:8" x14ac:dyDescent="0.2">
      <c r="E41" s="105" t="s">
        <v>2916</v>
      </c>
      <c r="F41" s="106">
        <v>0.2</v>
      </c>
      <c r="G41" s="107" t="s">
        <v>2917</v>
      </c>
      <c r="H41" s="105" t="s">
        <v>2918</v>
      </c>
    </row>
    <row r="42" spans="5:8" x14ac:dyDescent="0.2">
      <c r="E42" s="105" t="s">
        <v>937</v>
      </c>
      <c r="F42" s="106">
        <v>0.15</v>
      </c>
      <c r="G42" s="107" t="s">
        <v>2919</v>
      </c>
      <c r="H42" s="105" t="s">
        <v>2920</v>
      </c>
    </row>
    <row r="43" spans="5:8" x14ac:dyDescent="0.2">
      <c r="E43" s="105" t="s">
        <v>2658</v>
      </c>
      <c r="F43" s="106">
        <v>0.15</v>
      </c>
      <c r="G43" s="107" t="s">
        <v>2921</v>
      </c>
      <c r="H43" s="105" t="s">
        <v>2922</v>
      </c>
    </row>
    <row r="44" spans="5:8" x14ac:dyDescent="0.2">
      <c r="E44" s="105" t="s">
        <v>2923</v>
      </c>
      <c r="F44" s="106">
        <v>0.15</v>
      </c>
      <c r="G44" s="107" t="s">
        <v>2924</v>
      </c>
      <c r="H44" s="105" t="s">
        <v>2925</v>
      </c>
    </row>
    <row r="45" spans="5:8" x14ac:dyDescent="0.2">
      <c r="E45" s="105" t="s">
        <v>2926</v>
      </c>
      <c r="F45" s="106">
        <v>0.1</v>
      </c>
      <c r="G45" s="107" t="s">
        <v>2927</v>
      </c>
      <c r="H45" s="105" t="s">
        <v>2928</v>
      </c>
    </row>
    <row r="46" spans="5:8" x14ac:dyDescent="0.2">
      <c r="E46" s="102" t="s">
        <v>2</v>
      </c>
      <c r="F46" s="103">
        <v>0.05</v>
      </c>
      <c r="G46" s="104" t="s">
        <v>982</v>
      </c>
      <c r="H46" s="102" t="s">
        <v>2929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H45"/>
  <sheetViews>
    <sheetView topLeftCell="E1" zoomScale="73" workbookViewId="0">
      <selection activeCell="E2" sqref="E2"/>
    </sheetView>
  </sheetViews>
  <sheetFormatPr baseColWidth="10" defaultColWidth="8.83203125" defaultRowHeight="15" x14ac:dyDescent="0.2"/>
  <cols>
    <col min="1" max="1" width="4.83203125" customWidth="1"/>
    <col min="3" max="3" width="35.6640625" bestFit="1" customWidth="1"/>
    <col min="5" max="5" width="29.33203125" bestFit="1" customWidth="1"/>
    <col min="6" max="6" width="6.83203125" bestFit="1" customWidth="1"/>
    <col min="7" max="7" width="27.83203125" bestFit="1" customWidth="1"/>
    <col min="8" max="8" width="247.1640625" bestFit="1" customWidth="1"/>
  </cols>
  <sheetData>
    <row r="2" spans="2:8" ht="17.5" customHeight="1" x14ac:dyDescent="0.2">
      <c r="B2" s="6" t="s">
        <v>81</v>
      </c>
      <c r="C2" s="4" t="s">
        <v>2930</v>
      </c>
      <c r="E2" s="8" t="s">
        <v>930</v>
      </c>
      <c r="F2" s="8" t="s">
        <v>341</v>
      </c>
      <c r="G2" s="12" t="s">
        <v>931</v>
      </c>
      <c r="H2" s="1" t="s">
        <v>1091</v>
      </c>
    </row>
    <row r="3" spans="2:8" ht="20" customHeight="1" x14ac:dyDescent="0.2">
      <c r="B3" s="1">
        <v>1</v>
      </c>
      <c r="C3" s="5" t="s">
        <v>2931</v>
      </c>
      <c r="E3" s="9" t="s">
        <v>2932</v>
      </c>
      <c r="F3" s="10">
        <v>0.25</v>
      </c>
      <c r="G3" s="14" t="s">
        <v>2933</v>
      </c>
      <c r="H3" s="1" t="s">
        <v>2934</v>
      </c>
    </row>
    <row r="4" spans="2:8" ht="16" x14ac:dyDescent="0.2">
      <c r="B4" s="1">
        <v>2</v>
      </c>
      <c r="C4" s="5" t="s">
        <v>2935</v>
      </c>
      <c r="E4" s="9" t="s">
        <v>2936</v>
      </c>
      <c r="F4" s="10">
        <v>0.2</v>
      </c>
      <c r="G4" s="14" t="s">
        <v>2937</v>
      </c>
      <c r="H4" s="1" t="s">
        <v>2938</v>
      </c>
    </row>
    <row r="5" spans="2:8" ht="16" x14ac:dyDescent="0.2">
      <c r="B5" s="1">
        <v>3</v>
      </c>
      <c r="C5" s="1" t="s">
        <v>2939</v>
      </c>
      <c r="E5" s="9" t="s">
        <v>937</v>
      </c>
      <c r="F5" s="10">
        <v>0.15</v>
      </c>
      <c r="G5" s="14" t="s">
        <v>2020</v>
      </c>
      <c r="H5" s="1" t="s">
        <v>2940</v>
      </c>
    </row>
    <row r="6" spans="2:8" ht="16" x14ac:dyDescent="0.2">
      <c r="B6" s="1">
        <v>4</v>
      </c>
      <c r="C6" s="1" t="s">
        <v>2941</v>
      </c>
      <c r="E6" s="9" t="s">
        <v>1105</v>
      </c>
      <c r="F6" s="10">
        <v>0.2</v>
      </c>
      <c r="G6" s="14" t="s">
        <v>2942</v>
      </c>
      <c r="H6" s="1" t="s">
        <v>2943</v>
      </c>
    </row>
    <row r="7" spans="2:8" ht="16" x14ac:dyDescent="0.2">
      <c r="E7" s="9" t="s">
        <v>2944</v>
      </c>
      <c r="F7" s="10">
        <v>0.1</v>
      </c>
      <c r="G7" s="14" t="s">
        <v>2945</v>
      </c>
      <c r="H7" s="1" t="s">
        <v>2946</v>
      </c>
    </row>
    <row r="8" spans="2:8" ht="16" x14ac:dyDescent="0.2">
      <c r="E8" s="9" t="s">
        <v>2947</v>
      </c>
      <c r="F8" s="10">
        <v>0.1</v>
      </c>
      <c r="G8" s="14" t="s">
        <v>2948</v>
      </c>
      <c r="H8" s="1" t="s">
        <v>2949</v>
      </c>
    </row>
    <row r="9" spans="2:8" x14ac:dyDescent="0.2">
      <c r="G9" s="22"/>
      <c r="H9" s="22"/>
    </row>
    <row r="10" spans="2:8" ht="15.5" customHeight="1" x14ac:dyDescent="0.2">
      <c r="E10" s="20" t="s">
        <v>2950</v>
      </c>
      <c r="F10" s="15"/>
      <c r="G10" s="15"/>
      <c r="H10" s="15"/>
    </row>
    <row r="11" spans="2:8" ht="16" x14ac:dyDescent="0.2">
      <c r="E11" s="8" t="s">
        <v>82</v>
      </c>
      <c r="F11" s="12" t="s">
        <v>341</v>
      </c>
      <c r="G11" s="12" t="s">
        <v>931</v>
      </c>
      <c r="H11" s="12" t="s">
        <v>1</v>
      </c>
    </row>
    <row r="12" spans="2:8" x14ac:dyDescent="0.2">
      <c r="E12" s="1" t="s">
        <v>2951</v>
      </c>
      <c r="F12" s="16">
        <v>0.2</v>
      </c>
      <c r="G12" s="14" t="s">
        <v>2933</v>
      </c>
      <c r="H12" s="1" t="s">
        <v>2952</v>
      </c>
    </row>
    <row r="13" spans="2:8" x14ac:dyDescent="0.2">
      <c r="E13" s="1" t="s">
        <v>2953</v>
      </c>
      <c r="F13" s="16">
        <v>0.15</v>
      </c>
      <c r="G13" s="14" t="s">
        <v>2954</v>
      </c>
      <c r="H13" s="1" t="s">
        <v>2955</v>
      </c>
    </row>
    <row r="14" spans="2:8" x14ac:dyDescent="0.2">
      <c r="E14" s="1" t="s">
        <v>937</v>
      </c>
      <c r="F14" s="16">
        <v>0.15</v>
      </c>
      <c r="G14" s="14" t="s">
        <v>1979</v>
      </c>
      <c r="H14" s="1" t="s">
        <v>2956</v>
      </c>
    </row>
    <row r="15" spans="2:8" x14ac:dyDescent="0.2">
      <c r="E15" s="1" t="s">
        <v>2957</v>
      </c>
      <c r="F15" s="16">
        <v>0.15</v>
      </c>
      <c r="G15" s="14" t="s">
        <v>2958</v>
      </c>
      <c r="H15" s="1" t="s">
        <v>2959</v>
      </c>
    </row>
    <row r="16" spans="2:8" x14ac:dyDescent="0.2">
      <c r="E16" s="1" t="s">
        <v>2960</v>
      </c>
      <c r="F16" s="16">
        <v>0.1</v>
      </c>
      <c r="G16" s="14" t="s">
        <v>2961</v>
      </c>
      <c r="H16" s="1" t="s">
        <v>2962</v>
      </c>
    </row>
    <row r="17" spans="5:8" x14ac:dyDescent="0.2">
      <c r="E17" s="1" t="s">
        <v>2963</v>
      </c>
      <c r="F17" s="16">
        <v>0.1</v>
      </c>
      <c r="G17" s="14" t="s">
        <v>2964</v>
      </c>
      <c r="H17" s="1" t="s">
        <v>2965</v>
      </c>
    </row>
    <row r="18" spans="5:8" x14ac:dyDescent="0.2">
      <c r="E18" s="1" t="s">
        <v>115</v>
      </c>
      <c r="F18" s="16">
        <v>0.1</v>
      </c>
      <c r="G18" s="14" t="s">
        <v>2966</v>
      </c>
      <c r="H18" s="1" t="s">
        <v>2967</v>
      </c>
    </row>
    <row r="19" spans="5:8" x14ac:dyDescent="0.2">
      <c r="E19" s="1" t="s">
        <v>2968</v>
      </c>
      <c r="F19" s="16">
        <v>0.05</v>
      </c>
      <c r="G19" s="14" t="s">
        <v>2969</v>
      </c>
      <c r="H19" s="1" t="s">
        <v>2970</v>
      </c>
    </row>
    <row r="21" spans="5:8" ht="15.5" customHeight="1" x14ac:dyDescent="0.2">
      <c r="E21" s="21" t="s">
        <v>2971</v>
      </c>
      <c r="F21" s="15"/>
      <c r="G21" s="15"/>
      <c r="H21" s="15"/>
    </row>
    <row r="22" spans="5:8" x14ac:dyDescent="0.2">
      <c r="E22" s="12" t="s">
        <v>82</v>
      </c>
      <c r="F22" s="12" t="s">
        <v>341</v>
      </c>
      <c r="G22" s="12" t="s">
        <v>931</v>
      </c>
      <c r="H22" s="12" t="s">
        <v>1</v>
      </c>
    </row>
    <row r="23" spans="5:8" x14ac:dyDescent="0.2">
      <c r="E23" s="1" t="s">
        <v>933</v>
      </c>
      <c r="F23" s="16">
        <v>0.2</v>
      </c>
      <c r="G23" s="14" t="s">
        <v>1857</v>
      </c>
      <c r="H23" s="1" t="s">
        <v>2972</v>
      </c>
    </row>
    <row r="24" spans="5:8" x14ac:dyDescent="0.2">
      <c r="E24" s="1" t="s">
        <v>2926</v>
      </c>
      <c r="F24" s="16">
        <v>0.2</v>
      </c>
      <c r="G24" s="14" t="s">
        <v>2973</v>
      </c>
      <c r="H24" s="1" t="s">
        <v>2974</v>
      </c>
    </row>
    <row r="25" spans="5:8" x14ac:dyDescent="0.2">
      <c r="E25" s="1" t="s">
        <v>937</v>
      </c>
      <c r="F25" s="16">
        <v>0.15</v>
      </c>
      <c r="G25" s="14" t="s">
        <v>974</v>
      </c>
      <c r="H25" s="1" t="s">
        <v>2975</v>
      </c>
    </row>
    <row r="26" spans="5:8" x14ac:dyDescent="0.2">
      <c r="E26" s="1" t="s">
        <v>2570</v>
      </c>
      <c r="F26" s="16">
        <v>0.15</v>
      </c>
      <c r="G26" s="14" t="s">
        <v>2976</v>
      </c>
      <c r="H26" s="1" t="s">
        <v>2977</v>
      </c>
    </row>
    <row r="27" spans="5:8" x14ac:dyDescent="0.2">
      <c r="E27" s="1" t="s">
        <v>2978</v>
      </c>
      <c r="F27" s="16">
        <v>0.1</v>
      </c>
      <c r="G27" s="14" t="s">
        <v>2979</v>
      </c>
      <c r="H27" s="1" t="s">
        <v>2980</v>
      </c>
    </row>
    <row r="28" spans="5:8" x14ac:dyDescent="0.2">
      <c r="E28" s="1" t="s">
        <v>945</v>
      </c>
      <c r="F28" s="16">
        <v>0.1</v>
      </c>
      <c r="G28" s="14" t="s">
        <v>1340</v>
      </c>
      <c r="H28" s="1" t="s">
        <v>2981</v>
      </c>
    </row>
    <row r="29" spans="5:8" x14ac:dyDescent="0.2">
      <c r="E29" s="1" t="s">
        <v>2</v>
      </c>
      <c r="F29" s="16">
        <v>0.1</v>
      </c>
      <c r="G29" s="14" t="s">
        <v>974</v>
      </c>
      <c r="H29" s="1" t="s">
        <v>2982</v>
      </c>
    </row>
    <row r="31" spans="5:8" x14ac:dyDescent="0.2">
      <c r="E31" s="117" t="s">
        <v>2983</v>
      </c>
      <c r="F31" s="117" t="s">
        <v>341</v>
      </c>
      <c r="G31" s="117" t="s">
        <v>1210</v>
      </c>
      <c r="H31" s="117" t="s">
        <v>1211</v>
      </c>
    </row>
    <row r="32" spans="5:8" x14ac:dyDescent="0.2">
      <c r="E32" s="105" t="s">
        <v>2984</v>
      </c>
      <c r="F32" s="106">
        <v>0.25</v>
      </c>
      <c r="G32" s="107" t="s">
        <v>2985</v>
      </c>
      <c r="H32" s="105" t="s">
        <v>2986</v>
      </c>
    </row>
    <row r="33" spans="5:8" x14ac:dyDescent="0.2">
      <c r="E33" s="105" t="s">
        <v>2987</v>
      </c>
      <c r="F33" s="106">
        <v>0.2</v>
      </c>
      <c r="G33" s="107" t="s">
        <v>2988</v>
      </c>
      <c r="H33" s="105" t="s">
        <v>2989</v>
      </c>
    </row>
    <row r="34" spans="5:8" x14ac:dyDescent="0.2">
      <c r="E34" s="105" t="s">
        <v>937</v>
      </c>
      <c r="F34" s="106">
        <v>0.15</v>
      </c>
      <c r="G34" s="107" t="s">
        <v>2990</v>
      </c>
      <c r="H34" s="105" t="s">
        <v>2991</v>
      </c>
    </row>
    <row r="35" spans="5:8" x14ac:dyDescent="0.2">
      <c r="E35" s="105" t="s">
        <v>2992</v>
      </c>
      <c r="F35" s="106">
        <v>0.15</v>
      </c>
      <c r="G35" s="107" t="s">
        <v>2993</v>
      </c>
      <c r="H35" s="105" t="s">
        <v>2994</v>
      </c>
    </row>
    <row r="36" spans="5:8" x14ac:dyDescent="0.2">
      <c r="E36" s="105" t="s">
        <v>2995</v>
      </c>
      <c r="F36" s="106">
        <v>0.15</v>
      </c>
      <c r="G36" s="107" t="s">
        <v>2996</v>
      </c>
      <c r="H36" s="105" t="s">
        <v>2997</v>
      </c>
    </row>
    <row r="37" spans="5:8" x14ac:dyDescent="0.2">
      <c r="E37" s="102" t="s">
        <v>2998</v>
      </c>
      <c r="F37" s="103">
        <v>0.1</v>
      </c>
      <c r="G37" s="104" t="s">
        <v>2999</v>
      </c>
      <c r="H37" s="102" t="s">
        <v>3000</v>
      </c>
    </row>
    <row r="39" spans="5:8" x14ac:dyDescent="0.2">
      <c r="E39" s="117" t="s">
        <v>3001</v>
      </c>
      <c r="F39" s="117" t="s">
        <v>341</v>
      </c>
      <c r="G39" s="117" t="s">
        <v>1210</v>
      </c>
      <c r="H39" s="117" t="s">
        <v>1211</v>
      </c>
    </row>
    <row r="40" spans="5:8" x14ac:dyDescent="0.2">
      <c r="E40" s="105" t="s">
        <v>933</v>
      </c>
      <c r="F40" s="106">
        <v>0.2</v>
      </c>
      <c r="G40" s="107" t="s">
        <v>2821</v>
      </c>
      <c r="H40" s="105" t="s">
        <v>3002</v>
      </c>
    </row>
    <row r="41" spans="5:8" x14ac:dyDescent="0.2">
      <c r="E41" s="105" t="s">
        <v>3003</v>
      </c>
      <c r="F41" s="106">
        <v>0.2</v>
      </c>
      <c r="G41" s="107" t="s">
        <v>3004</v>
      </c>
      <c r="H41" s="105" t="s">
        <v>3005</v>
      </c>
    </row>
    <row r="42" spans="5:8" x14ac:dyDescent="0.2">
      <c r="E42" s="105" t="s">
        <v>937</v>
      </c>
      <c r="F42" s="106">
        <v>0.15</v>
      </c>
      <c r="G42" s="107" t="s">
        <v>3006</v>
      </c>
      <c r="H42" s="105" t="s">
        <v>3007</v>
      </c>
    </row>
    <row r="43" spans="5:8" x14ac:dyDescent="0.2">
      <c r="E43" s="105" t="s">
        <v>3008</v>
      </c>
      <c r="F43" s="106">
        <v>0.15</v>
      </c>
      <c r="G43" s="107" t="s">
        <v>3009</v>
      </c>
      <c r="H43" s="105" t="s">
        <v>3010</v>
      </c>
    </row>
    <row r="44" spans="5:8" x14ac:dyDescent="0.2">
      <c r="E44" s="105" t="s">
        <v>1704</v>
      </c>
      <c r="F44" s="106">
        <v>0.15</v>
      </c>
      <c r="G44" s="107" t="s">
        <v>3011</v>
      </c>
      <c r="H44" s="105" t="s">
        <v>3012</v>
      </c>
    </row>
    <row r="45" spans="5:8" x14ac:dyDescent="0.2">
      <c r="E45" s="102" t="s">
        <v>3013</v>
      </c>
      <c r="F45" s="103">
        <v>0.15</v>
      </c>
      <c r="G45" s="104" t="s">
        <v>3014</v>
      </c>
      <c r="H45" s="102" t="s">
        <v>3015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H53"/>
  <sheetViews>
    <sheetView zoomScale="94" zoomScaleNormal="85" workbookViewId="0">
      <selection activeCell="E2" sqref="E2"/>
    </sheetView>
  </sheetViews>
  <sheetFormatPr baseColWidth="10" defaultColWidth="8.83203125" defaultRowHeight="15" x14ac:dyDescent="0.2"/>
  <cols>
    <col min="1" max="1" width="3" customWidth="1"/>
    <col min="3" max="3" width="23.1640625" bestFit="1" customWidth="1"/>
    <col min="5" max="5" width="36.33203125" bestFit="1" customWidth="1"/>
    <col min="6" max="6" width="7" bestFit="1" customWidth="1"/>
    <col min="7" max="7" width="33.83203125" bestFit="1" customWidth="1"/>
    <col min="8" max="8" width="178.5" customWidth="1"/>
  </cols>
  <sheetData>
    <row r="2" spans="2:8" ht="17.5" customHeight="1" x14ac:dyDescent="0.2">
      <c r="B2" s="6" t="s">
        <v>81</v>
      </c>
      <c r="C2" s="4" t="s">
        <v>3016</v>
      </c>
      <c r="E2" s="8" t="s">
        <v>930</v>
      </c>
      <c r="F2" s="8" t="s">
        <v>341</v>
      </c>
      <c r="G2" s="12" t="s">
        <v>931</v>
      </c>
      <c r="H2" s="1" t="s">
        <v>1091</v>
      </c>
    </row>
    <row r="3" spans="2:8" ht="16" x14ac:dyDescent="0.2">
      <c r="B3" s="1">
        <v>1</v>
      </c>
      <c r="C3" s="5" t="s">
        <v>3017</v>
      </c>
      <c r="E3" s="9" t="s">
        <v>3018</v>
      </c>
      <c r="F3" s="10">
        <v>0.2</v>
      </c>
      <c r="G3" s="14" t="s">
        <v>3019</v>
      </c>
      <c r="H3" s="1" t="s">
        <v>3020</v>
      </c>
    </row>
    <row r="4" spans="2:8" ht="16" x14ac:dyDescent="0.2">
      <c r="B4" s="1">
        <v>2</v>
      </c>
      <c r="C4" s="5" t="s">
        <v>3021</v>
      </c>
      <c r="E4" s="9" t="s">
        <v>3022</v>
      </c>
      <c r="F4" s="10">
        <v>0.2</v>
      </c>
      <c r="G4" s="14" t="s">
        <v>3023</v>
      </c>
      <c r="H4" s="1" t="s">
        <v>3024</v>
      </c>
    </row>
    <row r="5" spans="2:8" ht="16" x14ac:dyDescent="0.2">
      <c r="B5" s="1">
        <v>3</v>
      </c>
      <c r="C5" s="1" t="s">
        <v>3025</v>
      </c>
      <c r="E5" s="9" t="s">
        <v>1105</v>
      </c>
      <c r="F5" s="10">
        <v>0.2</v>
      </c>
      <c r="G5" s="14" t="s">
        <v>3026</v>
      </c>
      <c r="H5" s="1" t="s">
        <v>3027</v>
      </c>
    </row>
    <row r="6" spans="2:8" ht="16" x14ac:dyDescent="0.2">
      <c r="B6" s="1">
        <v>4</v>
      </c>
      <c r="C6" s="1" t="s">
        <v>3028</v>
      </c>
      <c r="E6" s="9" t="s">
        <v>1994</v>
      </c>
      <c r="F6" s="10">
        <v>0.15</v>
      </c>
      <c r="G6" s="14" t="s">
        <v>1109</v>
      </c>
      <c r="H6" s="1" t="s">
        <v>3029</v>
      </c>
    </row>
    <row r="7" spans="2:8" ht="16" x14ac:dyDescent="0.2">
      <c r="B7" s="1">
        <v>5</v>
      </c>
      <c r="C7" s="1" t="s">
        <v>3030</v>
      </c>
      <c r="E7" s="9" t="s">
        <v>3031</v>
      </c>
      <c r="F7" s="10">
        <v>0.1</v>
      </c>
      <c r="G7" s="14" t="s">
        <v>3032</v>
      </c>
      <c r="H7" s="1" t="s">
        <v>3033</v>
      </c>
    </row>
    <row r="8" spans="2:8" ht="16" x14ac:dyDescent="0.2">
      <c r="E8" s="9" t="s">
        <v>2</v>
      </c>
      <c r="F8" s="10">
        <v>0.1</v>
      </c>
      <c r="G8" s="14" t="s">
        <v>1147</v>
      </c>
      <c r="H8" s="1" t="s">
        <v>3034</v>
      </c>
    </row>
    <row r="9" spans="2:8" ht="16" x14ac:dyDescent="0.2">
      <c r="E9" s="9" t="s">
        <v>3035</v>
      </c>
      <c r="F9" s="10">
        <v>0.05</v>
      </c>
      <c r="G9" s="14" t="s">
        <v>3036</v>
      </c>
      <c r="H9" s="1" t="s">
        <v>3037</v>
      </c>
    </row>
    <row r="11" spans="2:8" ht="15.5" customHeight="1" x14ac:dyDescent="0.2">
      <c r="E11" s="20" t="s">
        <v>3038</v>
      </c>
      <c r="F11" s="15"/>
      <c r="G11" s="15"/>
      <c r="H11" s="15"/>
    </row>
    <row r="12" spans="2:8" ht="16" x14ac:dyDescent="0.2">
      <c r="E12" s="8" t="s">
        <v>82</v>
      </c>
      <c r="F12" s="12" t="s">
        <v>341</v>
      </c>
      <c r="G12" s="12" t="s">
        <v>931</v>
      </c>
      <c r="H12" s="12" t="s">
        <v>1</v>
      </c>
    </row>
    <row r="13" spans="2:8" x14ac:dyDescent="0.2">
      <c r="E13" s="1" t="s">
        <v>3039</v>
      </c>
      <c r="F13" s="16">
        <v>0.2</v>
      </c>
      <c r="G13" s="14" t="s">
        <v>3040</v>
      </c>
      <c r="H13" s="1" t="s">
        <v>3041</v>
      </c>
    </row>
    <row r="14" spans="2:8" x14ac:dyDescent="0.2">
      <c r="E14" s="1" t="s">
        <v>3042</v>
      </c>
      <c r="F14" s="16">
        <v>0.2</v>
      </c>
      <c r="G14" s="14" t="s">
        <v>3043</v>
      </c>
      <c r="H14" s="1" t="s">
        <v>3044</v>
      </c>
    </row>
    <row r="15" spans="2:8" x14ac:dyDescent="0.2">
      <c r="E15" s="1" t="s">
        <v>3045</v>
      </c>
      <c r="F15" s="16">
        <v>0.15</v>
      </c>
      <c r="G15" s="14" t="s">
        <v>3046</v>
      </c>
      <c r="H15" s="1" t="s">
        <v>3047</v>
      </c>
    </row>
    <row r="16" spans="2:8" x14ac:dyDescent="0.2">
      <c r="E16" s="1" t="s">
        <v>937</v>
      </c>
      <c r="F16" s="16">
        <v>0.15</v>
      </c>
      <c r="G16" s="14" t="s">
        <v>3048</v>
      </c>
      <c r="H16" s="1" t="s">
        <v>3049</v>
      </c>
    </row>
    <row r="17" spans="5:8" x14ac:dyDescent="0.2">
      <c r="E17" s="1" t="s">
        <v>3</v>
      </c>
      <c r="F17" s="16">
        <v>0.15</v>
      </c>
      <c r="G17" s="14" t="s">
        <v>3050</v>
      </c>
      <c r="H17" s="1" t="s">
        <v>3051</v>
      </c>
    </row>
    <row r="18" spans="5:8" x14ac:dyDescent="0.2">
      <c r="E18" s="1" t="s">
        <v>3052</v>
      </c>
      <c r="F18" s="16">
        <v>0.1</v>
      </c>
      <c r="G18" s="14" t="s">
        <v>3053</v>
      </c>
      <c r="H18" s="1" t="s">
        <v>3054</v>
      </c>
    </row>
    <row r="19" spans="5:8" x14ac:dyDescent="0.2">
      <c r="E19" s="1" t="s">
        <v>2</v>
      </c>
      <c r="F19" s="16">
        <v>0.05</v>
      </c>
      <c r="G19" s="14" t="s">
        <v>3055</v>
      </c>
      <c r="H19" s="1" t="s">
        <v>3056</v>
      </c>
    </row>
    <row r="21" spans="5:8" ht="15.5" customHeight="1" x14ac:dyDescent="0.2">
      <c r="E21" s="21" t="s">
        <v>3057</v>
      </c>
      <c r="F21" s="15"/>
      <c r="G21" s="15"/>
      <c r="H21" s="15"/>
    </row>
    <row r="22" spans="5:8" x14ac:dyDescent="0.2">
      <c r="E22" s="12" t="s">
        <v>82</v>
      </c>
      <c r="F22" s="12" t="s">
        <v>341</v>
      </c>
      <c r="G22" s="12" t="s">
        <v>931</v>
      </c>
      <c r="H22" s="12" t="s">
        <v>1</v>
      </c>
    </row>
    <row r="23" spans="5:8" x14ac:dyDescent="0.2">
      <c r="E23" s="1" t="s">
        <v>3058</v>
      </c>
      <c r="F23" s="16">
        <v>0.25</v>
      </c>
      <c r="G23" s="14" t="s">
        <v>3059</v>
      </c>
      <c r="H23" s="1" t="s">
        <v>3060</v>
      </c>
    </row>
    <row r="24" spans="5:8" x14ac:dyDescent="0.2">
      <c r="E24" s="1" t="s">
        <v>3061</v>
      </c>
      <c r="F24" s="16">
        <v>0.2</v>
      </c>
      <c r="G24" s="14" t="s">
        <v>3062</v>
      </c>
      <c r="H24" s="1" t="s">
        <v>3063</v>
      </c>
    </row>
    <row r="25" spans="5:8" x14ac:dyDescent="0.2">
      <c r="E25" s="1" t="s">
        <v>3064</v>
      </c>
      <c r="F25" s="16">
        <v>0.15</v>
      </c>
      <c r="G25" s="14" t="s">
        <v>1914</v>
      </c>
      <c r="H25" s="1" t="s">
        <v>3065</v>
      </c>
    </row>
    <row r="26" spans="5:8" x14ac:dyDescent="0.2">
      <c r="E26" s="1" t="s">
        <v>3</v>
      </c>
      <c r="F26" s="16">
        <v>0.15</v>
      </c>
      <c r="G26" s="14" t="s">
        <v>1060</v>
      </c>
      <c r="H26" s="1" t="s">
        <v>3066</v>
      </c>
    </row>
    <row r="27" spans="5:8" x14ac:dyDescent="0.2">
      <c r="E27" s="1" t="s">
        <v>3067</v>
      </c>
      <c r="F27" s="16">
        <v>0.1</v>
      </c>
      <c r="G27" s="14" t="s">
        <v>3068</v>
      </c>
      <c r="H27" s="1" t="s">
        <v>3069</v>
      </c>
    </row>
    <row r="28" spans="5:8" x14ac:dyDescent="0.2">
      <c r="E28" s="1" t="s">
        <v>3070</v>
      </c>
      <c r="F28" s="16">
        <v>0.1</v>
      </c>
      <c r="G28" s="14" t="s">
        <v>3071</v>
      </c>
      <c r="H28" s="1" t="s">
        <v>3072</v>
      </c>
    </row>
    <row r="29" spans="5:8" x14ac:dyDescent="0.2">
      <c r="E29" s="1" t="s">
        <v>3073</v>
      </c>
      <c r="F29" s="16">
        <v>0.05</v>
      </c>
      <c r="G29" s="14" t="s">
        <v>3074</v>
      </c>
      <c r="H29" s="1" t="s">
        <v>3075</v>
      </c>
    </row>
    <row r="31" spans="5:8" x14ac:dyDescent="0.2">
      <c r="E31" s="117" t="s">
        <v>3076</v>
      </c>
      <c r="F31" s="117" t="s">
        <v>341</v>
      </c>
      <c r="G31" s="117" t="s">
        <v>1210</v>
      </c>
      <c r="H31" s="117" t="s">
        <v>1211</v>
      </c>
    </row>
    <row r="32" spans="5:8" x14ac:dyDescent="0.2">
      <c r="E32" s="105" t="s">
        <v>3077</v>
      </c>
      <c r="F32" s="106">
        <v>0.2</v>
      </c>
      <c r="G32" s="107" t="s">
        <v>3078</v>
      </c>
      <c r="H32" s="105" t="s">
        <v>3079</v>
      </c>
    </row>
    <row r="33" spans="5:8" x14ac:dyDescent="0.2">
      <c r="E33" s="105" t="s">
        <v>3080</v>
      </c>
      <c r="F33" s="106">
        <v>0.2</v>
      </c>
      <c r="G33" s="107" t="s">
        <v>3081</v>
      </c>
      <c r="H33" s="105" t="s">
        <v>3082</v>
      </c>
    </row>
    <row r="34" spans="5:8" x14ac:dyDescent="0.2">
      <c r="E34" s="105" t="s">
        <v>3083</v>
      </c>
      <c r="F34" s="106">
        <v>0.15</v>
      </c>
      <c r="G34" s="107" t="s">
        <v>3084</v>
      </c>
      <c r="H34" s="105" t="s">
        <v>3085</v>
      </c>
    </row>
    <row r="35" spans="5:8" x14ac:dyDescent="0.2">
      <c r="E35" s="105" t="s">
        <v>3086</v>
      </c>
      <c r="F35" s="106">
        <v>0.15</v>
      </c>
      <c r="G35" s="107" t="s">
        <v>3087</v>
      </c>
      <c r="H35" s="105" t="s">
        <v>3088</v>
      </c>
    </row>
    <row r="36" spans="5:8" x14ac:dyDescent="0.2">
      <c r="E36" s="105" t="s">
        <v>3089</v>
      </c>
      <c r="F36" s="106">
        <v>0.15</v>
      </c>
      <c r="G36" s="107" t="s">
        <v>3090</v>
      </c>
      <c r="H36" s="105" t="s">
        <v>3091</v>
      </c>
    </row>
    <row r="37" spans="5:8" x14ac:dyDescent="0.2">
      <c r="E37" s="102" t="s">
        <v>3092</v>
      </c>
      <c r="F37" s="103">
        <v>0.15</v>
      </c>
      <c r="G37" s="104" t="s">
        <v>3093</v>
      </c>
      <c r="H37" s="102" t="s">
        <v>3094</v>
      </c>
    </row>
    <row r="39" spans="5:8" x14ac:dyDescent="0.2">
      <c r="E39" s="117" t="s">
        <v>3095</v>
      </c>
      <c r="F39" s="117" t="s">
        <v>341</v>
      </c>
      <c r="G39" s="117" t="s">
        <v>1210</v>
      </c>
      <c r="H39" s="117" t="s">
        <v>1211</v>
      </c>
    </row>
    <row r="40" spans="5:8" x14ac:dyDescent="0.2">
      <c r="E40" s="105" t="s">
        <v>3096</v>
      </c>
      <c r="F40" s="106">
        <v>0.2</v>
      </c>
      <c r="G40" s="107" t="s">
        <v>3097</v>
      </c>
      <c r="H40" s="105" t="s">
        <v>3098</v>
      </c>
    </row>
    <row r="41" spans="5:8" x14ac:dyDescent="0.2">
      <c r="E41" s="105" t="s">
        <v>3099</v>
      </c>
      <c r="F41" s="106">
        <v>0.2</v>
      </c>
      <c r="G41" s="107" t="s">
        <v>3100</v>
      </c>
      <c r="H41" s="105" t="s">
        <v>3101</v>
      </c>
    </row>
    <row r="42" spans="5:8" x14ac:dyDescent="0.2">
      <c r="E42" s="105" t="s">
        <v>3102</v>
      </c>
      <c r="F42" s="106">
        <v>0.2</v>
      </c>
      <c r="G42" s="107" t="s">
        <v>3103</v>
      </c>
      <c r="H42" s="105" t="s">
        <v>3104</v>
      </c>
    </row>
    <row r="43" spans="5:8" x14ac:dyDescent="0.2">
      <c r="E43" s="105" t="s">
        <v>3105</v>
      </c>
      <c r="F43" s="106">
        <v>0.15</v>
      </c>
      <c r="G43" s="107" t="s">
        <v>3106</v>
      </c>
      <c r="H43" s="105" t="s">
        <v>3107</v>
      </c>
    </row>
    <row r="44" spans="5:8" x14ac:dyDescent="0.2">
      <c r="E44" s="105" t="s">
        <v>3108</v>
      </c>
      <c r="F44" s="106">
        <v>0.15</v>
      </c>
      <c r="G44" s="107" t="s">
        <v>3109</v>
      </c>
      <c r="H44" s="105" t="s">
        <v>3110</v>
      </c>
    </row>
    <row r="45" spans="5:8" x14ac:dyDescent="0.2">
      <c r="E45" s="102" t="s">
        <v>3111</v>
      </c>
      <c r="F45" s="103">
        <v>0.1</v>
      </c>
      <c r="G45" s="104" t="s">
        <v>3112</v>
      </c>
      <c r="H45" s="102" t="s">
        <v>3113</v>
      </c>
    </row>
    <row r="47" spans="5:8" x14ac:dyDescent="0.2">
      <c r="E47" s="117" t="s">
        <v>3114</v>
      </c>
      <c r="F47" s="117" t="s">
        <v>341</v>
      </c>
      <c r="G47" s="117" t="s">
        <v>1210</v>
      </c>
      <c r="H47" s="117" t="s">
        <v>1211</v>
      </c>
    </row>
    <row r="48" spans="5:8" x14ac:dyDescent="0.2">
      <c r="E48" s="105" t="s">
        <v>3115</v>
      </c>
      <c r="F48" s="106">
        <v>0.25</v>
      </c>
      <c r="G48" s="107" t="s">
        <v>3116</v>
      </c>
      <c r="H48" s="105" t="s">
        <v>3117</v>
      </c>
    </row>
    <row r="49" spans="5:8" x14ac:dyDescent="0.2">
      <c r="E49" s="105" t="s">
        <v>3118</v>
      </c>
      <c r="F49" s="106">
        <v>0.2</v>
      </c>
      <c r="G49" s="107" t="s">
        <v>3119</v>
      </c>
      <c r="H49" s="105" t="s">
        <v>3120</v>
      </c>
    </row>
    <row r="50" spans="5:8" x14ac:dyDescent="0.2">
      <c r="E50" s="105" t="s">
        <v>3121</v>
      </c>
      <c r="F50" s="106">
        <v>0.15</v>
      </c>
      <c r="G50" s="107" t="s">
        <v>3122</v>
      </c>
      <c r="H50" s="105" t="s">
        <v>3123</v>
      </c>
    </row>
    <row r="51" spans="5:8" x14ac:dyDescent="0.2">
      <c r="E51" s="105" t="s">
        <v>3124</v>
      </c>
      <c r="F51" s="106">
        <v>0.15</v>
      </c>
      <c r="G51" s="107" t="s">
        <v>3125</v>
      </c>
      <c r="H51" s="105" t="s">
        <v>3126</v>
      </c>
    </row>
    <row r="52" spans="5:8" x14ac:dyDescent="0.2">
      <c r="E52" s="105" t="s">
        <v>3127</v>
      </c>
      <c r="F52" s="106">
        <v>0.15</v>
      </c>
      <c r="G52" s="107" t="s">
        <v>3128</v>
      </c>
      <c r="H52" s="105" t="s">
        <v>3129</v>
      </c>
    </row>
    <row r="53" spans="5:8" x14ac:dyDescent="0.2">
      <c r="E53" s="102" t="s">
        <v>3130</v>
      </c>
      <c r="F53" s="103">
        <v>0.1</v>
      </c>
      <c r="G53" s="104" t="s">
        <v>3131</v>
      </c>
      <c r="H53" s="102" t="s">
        <v>3132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H49"/>
  <sheetViews>
    <sheetView zoomScale="63" workbookViewId="0"/>
  </sheetViews>
  <sheetFormatPr baseColWidth="10" defaultColWidth="8.83203125" defaultRowHeight="15" x14ac:dyDescent="0.2"/>
  <cols>
    <col min="1" max="1" width="2.6640625" customWidth="1"/>
    <col min="2" max="2" width="6.33203125" customWidth="1"/>
    <col min="3" max="3" width="36.33203125" customWidth="1"/>
    <col min="4" max="4" width="2.6640625" customWidth="1"/>
    <col min="5" max="5" width="36.33203125" customWidth="1"/>
    <col min="6" max="6" width="7.1640625" bestFit="1" customWidth="1"/>
    <col min="7" max="7" width="32.6640625" customWidth="1"/>
    <col min="8" max="8" width="100" customWidth="1"/>
  </cols>
  <sheetData>
    <row r="1" spans="2:8" x14ac:dyDescent="0.2">
      <c r="B1" s="124"/>
      <c r="C1" s="124"/>
      <c r="D1" s="124"/>
      <c r="E1" s="124"/>
      <c r="F1" s="124"/>
      <c r="G1" s="124"/>
      <c r="H1" s="124"/>
    </row>
    <row r="2" spans="2:8" ht="17.5" customHeight="1" x14ac:dyDescent="0.25">
      <c r="B2" s="131" t="s">
        <v>81</v>
      </c>
      <c r="C2" s="132" t="s">
        <v>3133</v>
      </c>
      <c r="D2" s="130"/>
      <c r="E2" s="133" t="s">
        <v>930</v>
      </c>
      <c r="F2" s="134" t="s">
        <v>341</v>
      </c>
      <c r="G2" s="134" t="s">
        <v>931</v>
      </c>
      <c r="H2" s="134" t="s">
        <v>1</v>
      </c>
    </row>
    <row r="3" spans="2:8" x14ac:dyDescent="0.2">
      <c r="B3" s="1">
        <v>1</v>
      </c>
      <c r="C3" s="129" t="s">
        <v>3134</v>
      </c>
      <c r="D3" s="130"/>
      <c r="E3" s="126" t="s">
        <v>3135</v>
      </c>
      <c r="F3" s="16">
        <v>0.2</v>
      </c>
      <c r="G3" s="14" t="s">
        <v>3136</v>
      </c>
      <c r="H3" s="1" t="s">
        <v>3137</v>
      </c>
    </row>
    <row r="4" spans="2:8" x14ac:dyDescent="0.2">
      <c r="B4" s="1">
        <v>2</v>
      </c>
      <c r="C4" s="129" t="s">
        <v>3138</v>
      </c>
      <c r="D4" s="130"/>
      <c r="E4" s="126" t="s">
        <v>3139</v>
      </c>
      <c r="F4" s="16">
        <v>0.15</v>
      </c>
      <c r="G4" s="14" t="s">
        <v>3140</v>
      </c>
      <c r="H4" s="1" t="s">
        <v>3141</v>
      </c>
    </row>
    <row r="5" spans="2:8" x14ac:dyDescent="0.2">
      <c r="B5" s="1">
        <v>3</v>
      </c>
      <c r="C5" s="129" t="s">
        <v>3142</v>
      </c>
      <c r="D5" s="130"/>
      <c r="E5" s="126" t="s">
        <v>3143</v>
      </c>
      <c r="F5" s="16">
        <v>0.15</v>
      </c>
      <c r="G5" s="14" t="s">
        <v>3144</v>
      </c>
      <c r="H5" s="1" t="s">
        <v>3145</v>
      </c>
    </row>
    <row r="6" spans="2:8" x14ac:dyDescent="0.2">
      <c r="B6" s="1">
        <v>4</v>
      </c>
      <c r="C6" s="129" t="s">
        <v>3146</v>
      </c>
      <c r="D6" s="130"/>
      <c r="E6" s="126" t="s">
        <v>3147</v>
      </c>
      <c r="F6" s="16">
        <v>0.15</v>
      </c>
      <c r="G6" s="14" t="s">
        <v>3148</v>
      </c>
      <c r="H6" s="1" t="s">
        <v>3149</v>
      </c>
    </row>
    <row r="7" spans="2:8" x14ac:dyDescent="0.2">
      <c r="E7" s="1" t="s">
        <v>2288</v>
      </c>
      <c r="F7" s="16">
        <v>0.15</v>
      </c>
      <c r="G7" s="14" t="s">
        <v>3150</v>
      </c>
      <c r="H7" s="1" t="s">
        <v>3151</v>
      </c>
    </row>
    <row r="8" spans="2:8" x14ac:dyDescent="0.2">
      <c r="E8" s="1" t="s">
        <v>3152</v>
      </c>
      <c r="F8" s="16">
        <v>0.1</v>
      </c>
      <c r="G8" s="14" t="s">
        <v>3153</v>
      </c>
      <c r="H8" s="1" t="s">
        <v>3154</v>
      </c>
    </row>
    <row r="9" spans="2:8" x14ac:dyDescent="0.2">
      <c r="E9" s="1" t="s">
        <v>3155</v>
      </c>
      <c r="F9" s="16">
        <v>0.1</v>
      </c>
      <c r="G9" s="14" t="s">
        <v>3156</v>
      </c>
      <c r="H9" s="1" t="s">
        <v>3157</v>
      </c>
    </row>
    <row r="11" spans="2:8" ht="15.5" customHeight="1" x14ac:dyDescent="0.2">
      <c r="E11" s="127" t="s">
        <v>3158</v>
      </c>
      <c r="F11" s="15"/>
      <c r="G11" s="15"/>
      <c r="H11" s="15"/>
    </row>
    <row r="12" spans="2:8" x14ac:dyDescent="0.2">
      <c r="E12" s="12" t="s">
        <v>82</v>
      </c>
      <c r="F12" s="12" t="s">
        <v>341</v>
      </c>
      <c r="G12" s="12" t="s">
        <v>931</v>
      </c>
      <c r="H12" s="12" t="s">
        <v>1</v>
      </c>
    </row>
    <row r="13" spans="2:8" x14ac:dyDescent="0.2">
      <c r="E13" s="1" t="s">
        <v>3135</v>
      </c>
      <c r="F13" s="16">
        <v>0.2</v>
      </c>
      <c r="G13" s="14" t="s">
        <v>3159</v>
      </c>
      <c r="H13" s="1" t="s">
        <v>3160</v>
      </c>
    </row>
    <row r="14" spans="2:8" x14ac:dyDescent="0.2">
      <c r="E14" s="1" t="s">
        <v>3161</v>
      </c>
      <c r="F14" s="16">
        <v>0.15</v>
      </c>
      <c r="G14" s="14" t="s">
        <v>3162</v>
      </c>
      <c r="H14" s="1" t="s">
        <v>3163</v>
      </c>
    </row>
    <row r="15" spans="2:8" x14ac:dyDescent="0.2">
      <c r="E15" s="1" t="s">
        <v>3164</v>
      </c>
      <c r="F15" s="16">
        <v>0.15</v>
      </c>
      <c r="G15" s="14" t="s">
        <v>3165</v>
      </c>
      <c r="H15" s="1" t="s">
        <v>3166</v>
      </c>
    </row>
    <row r="16" spans="2:8" x14ac:dyDescent="0.2">
      <c r="E16" s="1" t="s">
        <v>3167</v>
      </c>
      <c r="F16" s="16">
        <v>0.15</v>
      </c>
      <c r="G16" s="14" t="s">
        <v>3168</v>
      </c>
      <c r="H16" s="1" t="s">
        <v>3169</v>
      </c>
    </row>
    <row r="17" spans="5:8" x14ac:dyDescent="0.2">
      <c r="E17" s="1" t="s">
        <v>3170</v>
      </c>
      <c r="F17" s="16">
        <v>0.1</v>
      </c>
      <c r="G17" s="14" t="s">
        <v>3171</v>
      </c>
      <c r="H17" s="1" t="s">
        <v>3172</v>
      </c>
    </row>
    <row r="18" spans="5:8" x14ac:dyDescent="0.2">
      <c r="E18" s="1" t="s">
        <v>3173</v>
      </c>
      <c r="F18" s="16">
        <v>0.1</v>
      </c>
      <c r="G18" s="14" t="s">
        <v>3174</v>
      </c>
      <c r="H18" s="1" t="s">
        <v>3175</v>
      </c>
    </row>
    <row r="19" spans="5:8" x14ac:dyDescent="0.2">
      <c r="E19" s="1" t="s">
        <v>3176</v>
      </c>
      <c r="F19" s="16">
        <v>0.1</v>
      </c>
      <c r="G19" s="14" t="s">
        <v>3177</v>
      </c>
      <c r="H19" s="1" t="s">
        <v>3178</v>
      </c>
    </row>
    <row r="20" spans="5:8" x14ac:dyDescent="0.2">
      <c r="E20" s="1" t="s">
        <v>3179</v>
      </c>
      <c r="F20" s="16">
        <v>0.05</v>
      </c>
      <c r="G20" s="14" t="s">
        <v>3180</v>
      </c>
      <c r="H20" s="1" t="s">
        <v>3181</v>
      </c>
    </row>
    <row r="22" spans="5:8" ht="15.5" customHeight="1" x14ac:dyDescent="0.2">
      <c r="E22" s="127" t="s">
        <v>3182</v>
      </c>
      <c r="F22" s="15"/>
      <c r="G22" s="15"/>
      <c r="H22" s="15"/>
    </row>
    <row r="23" spans="5:8" x14ac:dyDescent="0.2">
      <c r="E23" s="12" t="s">
        <v>82</v>
      </c>
      <c r="F23" s="12" t="s">
        <v>341</v>
      </c>
      <c r="G23" s="12" t="s">
        <v>931</v>
      </c>
      <c r="H23" s="12" t="s">
        <v>1</v>
      </c>
    </row>
    <row r="24" spans="5:8" x14ac:dyDescent="0.2">
      <c r="E24" s="1" t="s">
        <v>2298</v>
      </c>
      <c r="F24" s="16">
        <v>0.25</v>
      </c>
      <c r="G24" s="14" t="s">
        <v>2299</v>
      </c>
      <c r="H24" s="1" t="s">
        <v>3183</v>
      </c>
    </row>
    <row r="25" spans="5:8" x14ac:dyDescent="0.2">
      <c r="E25" s="1" t="s">
        <v>3184</v>
      </c>
      <c r="F25" s="16">
        <v>0.25</v>
      </c>
      <c r="G25" s="14" t="s">
        <v>3185</v>
      </c>
      <c r="H25" s="1" t="s">
        <v>3186</v>
      </c>
    </row>
    <row r="26" spans="5:8" x14ac:dyDescent="0.2">
      <c r="E26" s="1" t="s">
        <v>3187</v>
      </c>
      <c r="F26" s="16">
        <v>0.2</v>
      </c>
      <c r="G26" s="14" t="s">
        <v>3188</v>
      </c>
      <c r="H26" s="1" t="s">
        <v>3189</v>
      </c>
    </row>
    <row r="27" spans="5:8" x14ac:dyDescent="0.2">
      <c r="E27" s="1" t="s">
        <v>3190</v>
      </c>
      <c r="F27" s="16">
        <v>0.15</v>
      </c>
      <c r="G27" s="14" t="s">
        <v>2308</v>
      </c>
      <c r="H27" s="1" t="s">
        <v>3191</v>
      </c>
    </row>
    <row r="28" spans="5:8" x14ac:dyDescent="0.2">
      <c r="E28" s="1" t="s">
        <v>3192</v>
      </c>
      <c r="F28" s="16">
        <v>0.1</v>
      </c>
      <c r="G28" s="14" t="s">
        <v>3193</v>
      </c>
      <c r="H28" s="1" t="s">
        <v>3194</v>
      </c>
    </row>
    <row r="29" spans="5:8" x14ac:dyDescent="0.2">
      <c r="E29" s="1" t="s">
        <v>3195</v>
      </c>
      <c r="F29" s="16">
        <v>0.05</v>
      </c>
      <c r="G29" s="14" t="s">
        <v>3196</v>
      </c>
      <c r="H29" s="1" t="s">
        <v>3197</v>
      </c>
    </row>
    <row r="31" spans="5:8" ht="15.5" customHeight="1" x14ac:dyDescent="0.2">
      <c r="E31" s="127" t="s">
        <v>3198</v>
      </c>
      <c r="F31" s="15"/>
      <c r="G31" s="15"/>
      <c r="H31" s="15"/>
    </row>
    <row r="32" spans="5:8" x14ac:dyDescent="0.2">
      <c r="E32" s="12" t="s">
        <v>82</v>
      </c>
      <c r="F32" s="12" t="s">
        <v>341</v>
      </c>
      <c r="G32" s="12" t="s">
        <v>931</v>
      </c>
      <c r="H32" s="12" t="s">
        <v>1</v>
      </c>
    </row>
    <row r="33" spans="5:8" x14ac:dyDescent="0.2">
      <c r="E33" s="1" t="s">
        <v>3199</v>
      </c>
      <c r="F33" s="16">
        <v>0.15</v>
      </c>
      <c r="G33" s="14" t="s">
        <v>3200</v>
      </c>
      <c r="H33" s="1" t="s">
        <v>3201</v>
      </c>
    </row>
    <row r="34" spans="5:8" x14ac:dyDescent="0.2">
      <c r="E34" s="1" t="s">
        <v>937</v>
      </c>
      <c r="F34" s="16">
        <v>0.15</v>
      </c>
      <c r="G34" s="14" t="s">
        <v>3202</v>
      </c>
      <c r="H34" s="1" t="s">
        <v>3203</v>
      </c>
    </row>
    <row r="35" spans="5:8" x14ac:dyDescent="0.2">
      <c r="E35" s="1" t="s">
        <v>2</v>
      </c>
      <c r="F35" s="16">
        <v>0.15</v>
      </c>
      <c r="G35" s="14" t="s">
        <v>3204</v>
      </c>
      <c r="H35" s="1" t="s">
        <v>3205</v>
      </c>
    </row>
    <row r="36" spans="5:8" x14ac:dyDescent="0.2">
      <c r="E36" s="1" t="s">
        <v>3206</v>
      </c>
      <c r="F36" s="16">
        <v>0.15</v>
      </c>
      <c r="G36" s="14" t="s">
        <v>3207</v>
      </c>
      <c r="H36" s="1" t="s">
        <v>3208</v>
      </c>
    </row>
    <row r="37" spans="5:8" x14ac:dyDescent="0.2">
      <c r="E37" s="1" t="s">
        <v>3209</v>
      </c>
      <c r="F37" s="16">
        <v>0.15</v>
      </c>
      <c r="G37" s="14" t="s">
        <v>3210</v>
      </c>
      <c r="H37" s="1" t="s">
        <v>3211</v>
      </c>
    </row>
    <row r="38" spans="5:8" x14ac:dyDescent="0.2">
      <c r="E38" s="1" t="s">
        <v>3212</v>
      </c>
      <c r="F38" s="16">
        <v>0.1</v>
      </c>
      <c r="G38" s="14" t="s">
        <v>3213</v>
      </c>
      <c r="H38" s="1" t="s">
        <v>3214</v>
      </c>
    </row>
    <row r="39" spans="5:8" x14ac:dyDescent="0.2">
      <c r="E39" s="1" t="s">
        <v>3215</v>
      </c>
      <c r="F39" s="16">
        <v>0.15</v>
      </c>
      <c r="G39" s="14" t="s">
        <v>3216</v>
      </c>
      <c r="H39" s="1" t="s">
        <v>3217</v>
      </c>
    </row>
    <row r="41" spans="5:8" ht="15.5" customHeight="1" x14ac:dyDescent="0.2">
      <c r="E41" s="127" t="s">
        <v>3218</v>
      </c>
      <c r="F41" s="15"/>
      <c r="G41" s="15"/>
      <c r="H41" s="15"/>
    </row>
    <row r="42" spans="5:8" x14ac:dyDescent="0.2">
      <c r="E42" s="12" t="s">
        <v>82</v>
      </c>
      <c r="F42" s="12" t="s">
        <v>341</v>
      </c>
      <c r="G42" s="12" t="s">
        <v>931</v>
      </c>
      <c r="H42" s="12" t="s">
        <v>1</v>
      </c>
    </row>
    <row r="43" spans="5:8" x14ac:dyDescent="0.2">
      <c r="E43" s="1" t="s">
        <v>3219</v>
      </c>
      <c r="F43" s="16">
        <v>0.2</v>
      </c>
      <c r="G43" s="14" t="s">
        <v>3220</v>
      </c>
      <c r="H43" s="1" t="s">
        <v>3221</v>
      </c>
    </row>
    <row r="44" spans="5:8" x14ac:dyDescent="0.2">
      <c r="E44" s="1" t="s">
        <v>3222</v>
      </c>
      <c r="F44" s="16">
        <v>0.15</v>
      </c>
      <c r="G44" s="14" t="s">
        <v>3223</v>
      </c>
      <c r="H44" s="1" t="s">
        <v>3224</v>
      </c>
    </row>
    <row r="45" spans="5:8" x14ac:dyDescent="0.2">
      <c r="E45" s="1" t="s">
        <v>3152</v>
      </c>
      <c r="F45" s="16">
        <v>0.15</v>
      </c>
      <c r="G45" s="14" t="s">
        <v>3225</v>
      </c>
      <c r="H45" s="1" t="s">
        <v>3226</v>
      </c>
    </row>
    <row r="46" spans="5:8" x14ac:dyDescent="0.2">
      <c r="E46" s="1" t="s">
        <v>3227</v>
      </c>
      <c r="F46" s="16">
        <v>0.15</v>
      </c>
      <c r="G46" s="14" t="s">
        <v>3228</v>
      </c>
      <c r="H46" s="1" t="s">
        <v>3229</v>
      </c>
    </row>
    <row r="47" spans="5:8" x14ac:dyDescent="0.2">
      <c r="E47" s="1" t="s">
        <v>3230</v>
      </c>
      <c r="F47" s="16">
        <v>0.15</v>
      </c>
      <c r="G47" s="14" t="s">
        <v>3231</v>
      </c>
      <c r="H47" s="1" t="s">
        <v>3232</v>
      </c>
    </row>
    <row r="48" spans="5:8" x14ac:dyDescent="0.2">
      <c r="E48" s="1" t="s">
        <v>3233</v>
      </c>
      <c r="F48" s="16">
        <v>0.1</v>
      </c>
      <c r="G48" s="14" t="s">
        <v>3234</v>
      </c>
      <c r="H48" s="1" t="s">
        <v>3235</v>
      </c>
    </row>
    <row r="49" spans="5:8" x14ac:dyDescent="0.2">
      <c r="E49" s="1" t="s">
        <v>3236</v>
      </c>
      <c r="F49" s="16">
        <v>0.1</v>
      </c>
      <c r="G49" s="14" t="s">
        <v>3237</v>
      </c>
      <c r="H49" s="1" t="s">
        <v>3238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82"/>
  <sheetViews>
    <sheetView zoomScale="71" workbookViewId="0">
      <selection activeCell="H10" sqref="H10"/>
    </sheetView>
  </sheetViews>
  <sheetFormatPr baseColWidth="10" defaultColWidth="8.83203125" defaultRowHeight="15" x14ac:dyDescent="0.2"/>
  <cols>
    <col min="1" max="1" width="2.83203125" customWidth="1"/>
    <col min="3" max="3" width="28.83203125" bestFit="1" customWidth="1"/>
    <col min="5" max="5" width="32.83203125" bestFit="1" customWidth="1"/>
    <col min="7" max="7" width="34.33203125" bestFit="1" customWidth="1"/>
    <col min="8" max="8" width="168.83203125" bestFit="1" customWidth="1"/>
  </cols>
  <sheetData>
    <row r="1" spans="1:8" x14ac:dyDescent="0.2">
      <c r="A1" s="3"/>
    </row>
    <row r="2" spans="1:8" ht="17.5" customHeight="1" x14ac:dyDescent="0.2">
      <c r="B2" s="6" t="s">
        <v>81</v>
      </c>
      <c r="C2" s="4" t="s">
        <v>3239</v>
      </c>
      <c r="E2" s="8" t="s">
        <v>930</v>
      </c>
      <c r="F2" s="8" t="s">
        <v>341</v>
      </c>
      <c r="G2" s="12" t="s">
        <v>931</v>
      </c>
      <c r="H2" s="1" t="s">
        <v>1091</v>
      </c>
    </row>
    <row r="3" spans="1:8" ht="16" x14ac:dyDescent="0.2">
      <c r="B3" s="1">
        <v>1</v>
      </c>
      <c r="C3" s="5" t="s">
        <v>3240</v>
      </c>
      <c r="E3" s="9" t="s">
        <v>3241</v>
      </c>
      <c r="F3" s="10">
        <v>0.25</v>
      </c>
      <c r="G3" s="14" t="s">
        <v>3242</v>
      </c>
      <c r="H3" s="1" t="s">
        <v>3243</v>
      </c>
    </row>
    <row r="4" spans="1:8" ht="16" x14ac:dyDescent="0.2">
      <c r="B4" s="1">
        <v>2</v>
      </c>
      <c r="C4" s="5" t="s">
        <v>3244</v>
      </c>
      <c r="E4" s="9" t="s">
        <v>3245</v>
      </c>
      <c r="F4" s="10">
        <v>0.25</v>
      </c>
      <c r="G4" s="14" t="s">
        <v>3246</v>
      </c>
      <c r="H4" s="1" t="s">
        <v>3247</v>
      </c>
    </row>
    <row r="5" spans="1:8" ht="16" x14ac:dyDescent="0.2">
      <c r="B5" s="1">
        <v>3</v>
      </c>
      <c r="C5" s="5" t="s">
        <v>3248</v>
      </c>
      <c r="E5" s="9" t="s">
        <v>1105</v>
      </c>
      <c r="F5" s="10">
        <v>0.2</v>
      </c>
      <c r="G5" s="14" t="s">
        <v>3026</v>
      </c>
      <c r="H5" s="1" t="s">
        <v>3249</v>
      </c>
    </row>
    <row r="6" spans="1:8" ht="16" x14ac:dyDescent="0.2">
      <c r="B6" s="1">
        <v>4</v>
      </c>
      <c r="C6" s="5" t="s">
        <v>3250</v>
      </c>
      <c r="E6" s="9" t="s">
        <v>3251</v>
      </c>
      <c r="F6" s="10">
        <v>0.15</v>
      </c>
      <c r="G6" s="14" t="s">
        <v>3252</v>
      </c>
      <c r="H6" s="1" t="s">
        <v>3253</v>
      </c>
    </row>
    <row r="7" spans="1:8" ht="16" x14ac:dyDescent="0.2">
      <c r="B7" s="1">
        <v>5</v>
      </c>
      <c r="C7" s="5" t="s">
        <v>3254</v>
      </c>
      <c r="E7" s="9" t="s">
        <v>3255</v>
      </c>
      <c r="F7" s="10">
        <v>0.1</v>
      </c>
      <c r="G7" s="14" t="s">
        <v>3256</v>
      </c>
      <c r="H7" s="1" t="s">
        <v>3257</v>
      </c>
    </row>
    <row r="8" spans="1:8" ht="16" x14ac:dyDescent="0.2">
      <c r="B8" s="1">
        <v>6</v>
      </c>
      <c r="C8" s="5" t="s">
        <v>3258</v>
      </c>
      <c r="E8" s="9" t="s">
        <v>3035</v>
      </c>
      <c r="F8" s="10">
        <v>0.05</v>
      </c>
      <c r="G8" s="14" t="s">
        <v>3259</v>
      </c>
      <c r="H8" s="1" t="s">
        <v>3260</v>
      </c>
    </row>
    <row r="9" spans="1:8" x14ac:dyDescent="0.2">
      <c r="B9" s="1">
        <v>7</v>
      </c>
      <c r="C9" s="5" t="s">
        <v>3261</v>
      </c>
      <c r="G9" s="1"/>
      <c r="H9" s="1"/>
    </row>
    <row r="10" spans="1:8" x14ac:dyDescent="0.2">
      <c r="B10" s="1">
        <v>8</v>
      </c>
      <c r="C10" s="1" t="s">
        <v>3262</v>
      </c>
    </row>
    <row r="11" spans="1:8" ht="15.5" customHeight="1" x14ac:dyDescent="0.2">
      <c r="E11" s="20" t="s">
        <v>3263</v>
      </c>
      <c r="F11" s="15"/>
      <c r="G11" s="15"/>
      <c r="H11" s="15"/>
    </row>
    <row r="12" spans="1:8" x14ac:dyDescent="0.2">
      <c r="E12" s="12" t="s">
        <v>82</v>
      </c>
      <c r="F12" s="12" t="s">
        <v>341</v>
      </c>
      <c r="G12" s="12" t="s">
        <v>931</v>
      </c>
      <c r="H12" s="12" t="s">
        <v>1</v>
      </c>
    </row>
    <row r="13" spans="1:8" x14ac:dyDescent="0.2">
      <c r="E13" s="1" t="s">
        <v>2477</v>
      </c>
      <c r="F13" s="16">
        <v>0.2</v>
      </c>
      <c r="G13" s="14" t="s">
        <v>2516</v>
      </c>
      <c r="H13" s="1" t="s">
        <v>3264</v>
      </c>
    </row>
    <row r="14" spans="1:8" x14ac:dyDescent="0.2">
      <c r="E14" s="1" t="s">
        <v>2520</v>
      </c>
      <c r="F14" s="16">
        <v>0.2</v>
      </c>
      <c r="G14" s="14" t="s">
        <v>3265</v>
      </c>
      <c r="H14" s="1" t="s">
        <v>3266</v>
      </c>
    </row>
    <row r="15" spans="1:8" x14ac:dyDescent="0.2">
      <c r="E15" s="1" t="s">
        <v>937</v>
      </c>
      <c r="F15" s="16">
        <v>0.15</v>
      </c>
      <c r="G15" s="14" t="s">
        <v>3267</v>
      </c>
      <c r="H15" s="1" t="s">
        <v>3268</v>
      </c>
    </row>
    <row r="16" spans="1:8" x14ac:dyDescent="0.2">
      <c r="E16" s="1" t="s">
        <v>1503</v>
      </c>
      <c r="F16" s="16">
        <v>0.15</v>
      </c>
      <c r="G16" s="14" t="s">
        <v>2523</v>
      </c>
      <c r="H16" s="1" t="s">
        <v>3269</v>
      </c>
    </row>
    <row r="17" spans="5:8" x14ac:dyDescent="0.2">
      <c r="E17" s="1" t="s">
        <v>3270</v>
      </c>
      <c r="F17" s="16">
        <v>0.15</v>
      </c>
      <c r="G17" s="14" t="s">
        <v>3271</v>
      </c>
      <c r="H17" s="1" t="s">
        <v>3272</v>
      </c>
    </row>
    <row r="18" spans="5:8" x14ac:dyDescent="0.2">
      <c r="E18" s="1" t="s">
        <v>2</v>
      </c>
      <c r="F18" s="16">
        <v>0.15</v>
      </c>
      <c r="G18" s="14" t="s">
        <v>966</v>
      </c>
      <c r="H18" s="1" t="s">
        <v>3273</v>
      </c>
    </row>
    <row r="20" spans="5:8" ht="15.5" customHeight="1" x14ac:dyDescent="0.2">
      <c r="E20" s="21" t="s">
        <v>3274</v>
      </c>
      <c r="F20" s="15"/>
      <c r="G20" s="15"/>
      <c r="H20" s="15"/>
    </row>
    <row r="21" spans="5:8" x14ac:dyDescent="0.2">
      <c r="E21" s="12" t="s">
        <v>82</v>
      </c>
      <c r="F21" s="12" t="s">
        <v>341</v>
      </c>
      <c r="G21" s="12" t="s">
        <v>931</v>
      </c>
      <c r="H21" s="12" t="s">
        <v>1</v>
      </c>
    </row>
    <row r="22" spans="5:8" x14ac:dyDescent="0.2">
      <c r="E22" s="1" t="s">
        <v>1930</v>
      </c>
      <c r="F22" s="16">
        <v>0.2</v>
      </c>
      <c r="G22" s="14" t="s">
        <v>1006</v>
      </c>
      <c r="H22" s="1" t="s">
        <v>3275</v>
      </c>
    </row>
    <row r="23" spans="5:8" x14ac:dyDescent="0.2">
      <c r="E23" s="1" t="s">
        <v>3276</v>
      </c>
      <c r="F23" s="16">
        <v>0.2</v>
      </c>
      <c r="G23" s="14" t="s">
        <v>3277</v>
      </c>
      <c r="H23" s="1" t="s">
        <v>3278</v>
      </c>
    </row>
    <row r="24" spans="5:8" x14ac:dyDescent="0.2">
      <c r="E24" s="1" t="s">
        <v>937</v>
      </c>
      <c r="F24" s="16">
        <v>0.15</v>
      </c>
      <c r="G24" s="14" t="s">
        <v>3279</v>
      </c>
      <c r="H24" s="1" t="s">
        <v>3280</v>
      </c>
    </row>
    <row r="25" spans="5:8" x14ac:dyDescent="0.2">
      <c r="E25" s="1" t="s">
        <v>1937</v>
      </c>
      <c r="F25" s="16">
        <v>0.15</v>
      </c>
      <c r="G25" s="14" t="s">
        <v>3281</v>
      </c>
      <c r="H25" s="1" t="s">
        <v>3282</v>
      </c>
    </row>
    <row r="26" spans="5:8" x14ac:dyDescent="0.2">
      <c r="E26" s="1" t="s">
        <v>3283</v>
      </c>
      <c r="F26" s="16">
        <v>0.15</v>
      </c>
      <c r="G26" s="14" t="s">
        <v>1942</v>
      </c>
      <c r="H26" s="1" t="s">
        <v>3284</v>
      </c>
    </row>
    <row r="27" spans="5:8" x14ac:dyDescent="0.2">
      <c r="E27" s="1" t="s">
        <v>2</v>
      </c>
      <c r="F27" s="16">
        <v>0.15</v>
      </c>
      <c r="G27" s="14" t="s">
        <v>1011</v>
      </c>
      <c r="H27" s="1" t="s">
        <v>3285</v>
      </c>
    </row>
    <row r="29" spans="5:8" ht="15.5" customHeight="1" x14ac:dyDescent="0.2">
      <c r="E29" s="21" t="s">
        <v>3286</v>
      </c>
      <c r="F29" s="15"/>
      <c r="G29" s="15"/>
      <c r="H29" s="15"/>
    </row>
    <row r="30" spans="5:8" x14ac:dyDescent="0.2">
      <c r="E30" s="12" t="s">
        <v>82</v>
      </c>
      <c r="F30" s="12" t="s">
        <v>341</v>
      </c>
      <c r="G30" s="12" t="s">
        <v>931</v>
      </c>
      <c r="H30" s="12" t="s">
        <v>1</v>
      </c>
    </row>
    <row r="31" spans="5:8" x14ac:dyDescent="0.2">
      <c r="E31" s="1" t="s">
        <v>3287</v>
      </c>
      <c r="F31" s="16">
        <v>0.2</v>
      </c>
      <c r="G31" s="14" t="s">
        <v>1078</v>
      </c>
      <c r="H31" s="1" t="s">
        <v>3288</v>
      </c>
    </row>
    <row r="32" spans="5:8" x14ac:dyDescent="0.2">
      <c r="E32" s="1" t="s">
        <v>3289</v>
      </c>
      <c r="F32" s="16">
        <v>0.2</v>
      </c>
      <c r="G32" s="14" t="s">
        <v>3290</v>
      </c>
      <c r="H32" s="1" t="s">
        <v>3291</v>
      </c>
    </row>
    <row r="33" spans="5:8" x14ac:dyDescent="0.2">
      <c r="E33" s="1" t="s">
        <v>3292</v>
      </c>
      <c r="F33" s="16">
        <v>0.15</v>
      </c>
      <c r="G33" s="14" t="s">
        <v>3293</v>
      </c>
      <c r="H33" s="1" t="s">
        <v>3294</v>
      </c>
    </row>
    <row r="34" spans="5:8" x14ac:dyDescent="0.2">
      <c r="E34" s="1" t="s">
        <v>3295</v>
      </c>
      <c r="F34" s="16">
        <v>0.15</v>
      </c>
      <c r="G34" s="14" t="s">
        <v>3296</v>
      </c>
      <c r="H34" s="1" t="s">
        <v>3297</v>
      </c>
    </row>
    <row r="35" spans="5:8" x14ac:dyDescent="0.2">
      <c r="E35" s="1" t="s">
        <v>3298</v>
      </c>
      <c r="F35" s="16">
        <v>0.15</v>
      </c>
      <c r="G35" s="14" t="s">
        <v>3299</v>
      </c>
      <c r="H35" s="1" t="s">
        <v>3300</v>
      </c>
    </row>
    <row r="36" spans="5:8" x14ac:dyDescent="0.2">
      <c r="E36" s="1" t="s">
        <v>2</v>
      </c>
      <c r="F36" s="16">
        <v>0.15</v>
      </c>
      <c r="G36" s="14" t="s">
        <v>949</v>
      </c>
      <c r="H36" s="1" t="s">
        <v>3301</v>
      </c>
    </row>
    <row r="38" spans="5:8" ht="15.5" customHeight="1" x14ac:dyDescent="0.2">
      <c r="E38" s="21" t="s">
        <v>3302</v>
      </c>
      <c r="F38" s="15"/>
      <c r="G38" s="15"/>
      <c r="H38" s="15"/>
    </row>
    <row r="39" spans="5:8" x14ac:dyDescent="0.2">
      <c r="E39" s="12" t="s">
        <v>82</v>
      </c>
      <c r="F39" s="12" t="s">
        <v>341</v>
      </c>
      <c r="G39" s="12" t="s">
        <v>931</v>
      </c>
      <c r="H39" s="12" t="s">
        <v>1</v>
      </c>
    </row>
    <row r="40" spans="5:8" x14ac:dyDescent="0.2">
      <c r="E40" s="1" t="s">
        <v>933</v>
      </c>
      <c r="F40" s="16">
        <v>0.2</v>
      </c>
      <c r="G40" s="14" t="s">
        <v>1515</v>
      </c>
      <c r="H40" s="1" t="s">
        <v>3303</v>
      </c>
    </row>
    <row r="41" spans="5:8" x14ac:dyDescent="0.2">
      <c r="E41" s="1" t="s">
        <v>3304</v>
      </c>
      <c r="F41" s="16">
        <v>0.2</v>
      </c>
      <c r="G41" s="14" t="s">
        <v>3305</v>
      </c>
      <c r="H41" s="1" t="s">
        <v>3306</v>
      </c>
    </row>
    <row r="42" spans="5:8" x14ac:dyDescent="0.2">
      <c r="E42" s="1" t="s">
        <v>937</v>
      </c>
      <c r="F42" s="16">
        <v>0.15</v>
      </c>
      <c r="G42" s="14" t="s">
        <v>982</v>
      </c>
      <c r="H42" s="1" t="s">
        <v>3307</v>
      </c>
    </row>
    <row r="43" spans="5:8" x14ac:dyDescent="0.2">
      <c r="E43" s="1" t="s">
        <v>3308</v>
      </c>
      <c r="F43" s="16">
        <v>0.15</v>
      </c>
      <c r="G43" s="14" t="s">
        <v>3309</v>
      </c>
      <c r="H43" s="1" t="s">
        <v>3310</v>
      </c>
    </row>
    <row r="44" spans="5:8" x14ac:dyDescent="0.2">
      <c r="E44" s="1" t="s">
        <v>3311</v>
      </c>
      <c r="F44" s="16">
        <v>0.15</v>
      </c>
      <c r="G44" s="14" t="s">
        <v>1379</v>
      </c>
      <c r="H44" s="1" t="s">
        <v>3312</v>
      </c>
    </row>
    <row r="45" spans="5:8" x14ac:dyDescent="0.2">
      <c r="E45" s="1" t="s">
        <v>2</v>
      </c>
      <c r="F45" s="16">
        <v>0.15</v>
      </c>
      <c r="G45" s="14" t="s">
        <v>1011</v>
      </c>
      <c r="H45" s="1" t="s">
        <v>3313</v>
      </c>
    </row>
    <row r="47" spans="5:8" ht="15.5" customHeight="1" x14ac:dyDescent="0.2">
      <c r="E47" s="21" t="s">
        <v>3314</v>
      </c>
      <c r="F47" s="15"/>
      <c r="G47" s="15"/>
      <c r="H47" s="15"/>
    </row>
    <row r="48" spans="5:8" x14ac:dyDescent="0.2">
      <c r="E48" s="12" t="s">
        <v>82</v>
      </c>
      <c r="F48" s="12" t="s">
        <v>341</v>
      </c>
      <c r="G48" s="12" t="s">
        <v>931</v>
      </c>
      <c r="H48" s="12" t="s">
        <v>1</v>
      </c>
    </row>
    <row r="49" spans="5:8" x14ac:dyDescent="0.2">
      <c r="E49" s="1" t="s">
        <v>3315</v>
      </c>
      <c r="F49" s="16">
        <v>0.2</v>
      </c>
      <c r="G49" s="14" t="s">
        <v>3316</v>
      </c>
      <c r="H49" s="1" t="s">
        <v>3317</v>
      </c>
    </row>
    <row r="50" spans="5:8" x14ac:dyDescent="0.2">
      <c r="E50" s="1" t="s">
        <v>3318</v>
      </c>
      <c r="F50" s="16">
        <v>0.2</v>
      </c>
      <c r="G50" s="14" t="s">
        <v>3319</v>
      </c>
      <c r="H50" s="1" t="s">
        <v>3320</v>
      </c>
    </row>
    <row r="51" spans="5:8" x14ac:dyDescent="0.2">
      <c r="E51" s="1" t="s">
        <v>3321</v>
      </c>
      <c r="F51" s="16">
        <v>0.15</v>
      </c>
      <c r="G51" s="14" t="s">
        <v>3322</v>
      </c>
      <c r="H51" s="1" t="s">
        <v>3323</v>
      </c>
    </row>
    <row r="52" spans="5:8" x14ac:dyDescent="0.2">
      <c r="E52" s="1" t="s">
        <v>3</v>
      </c>
      <c r="F52" s="16">
        <v>0.15</v>
      </c>
      <c r="G52" s="14" t="s">
        <v>3324</v>
      </c>
      <c r="H52" s="1" t="s">
        <v>3325</v>
      </c>
    </row>
    <row r="53" spans="5:8" x14ac:dyDescent="0.2">
      <c r="E53" s="1" t="s">
        <v>937</v>
      </c>
      <c r="F53" s="16">
        <v>0.15</v>
      </c>
      <c r="G53" s="14" t="s">
        <v>1379</v>
      </c>
      <c r="H53" s="1" t="s">
        <v>3326</v>
      </c>
    </row>
    <row r="54" spans="5:8" x14ac:dyDescent="0.2">
      <c r="E54" s="1" t="s">
        <v>3327</v>
      </c>
      <c r="F54" s="16">
        <v>0.1</v>
      </c>
      <c r="G54" s="14" t="s">
        <v>3328</v>
      </c>
      <c r="H54" s="1" t="s">
        <v>3329</v>
      </c>
    </row>
    <row r="55" spans="5:8" x14ac:dyDescent="0.2">
      <c r="E55" s="1" t="s">
        <v>3330</v>
      </c>
      <c r="F55" s="16">
        <v>0.05</v>
      </c>
      <c r="G55" s="14" t="s">
        <v>3331</v>
      </c>
      <c r="H55" s="1" t="s">
        <v>3332</v>
      </c>
    </row>
    <row r="57" spans="5:8" ht="15.5" customHeight="1" x14ac:dyDescent="0.2">
      <c r="E57" s="21" t="s">
        <v>3333</v>
      </c>
      <c r="F57" s="15"/>
      <c r="G57" s="15"/>
      <c r="H57" s="15"/>
    </row>
    <row r="58" spans="5:8" x14ac:dyDescent="0.2">
      <c r="E58" s="12" t="s">
        <v>82</v>
      </c>
      <c r="F58" s="12" t="s">
        <v>341</v>
      </c>
      <c r="G58" s="12" t="s">
        <v>931</v>
      </c>
      <c r="H58" s="12" t="s">
        <v>1</v>
      </c>
    </row>
    <row r="59" spans="5:8" x14ac:dyDescent="0.2">
      <c r="E59" s="1" t="s">
        <v>3334</v>
      </c>
      <c r="F59" s="16">
        <v>0.2</v>
      </c>
      <c r="G59" s="14" t="s">
        <v>3335</v>
      </c>
      <c r="H59" s="1" t="s">
        <v>3336</v>
      </c>
    </row>
    <row r="60" spans="5:8" x14ac:dyDescent="0.2">
      <c r="E60" s="1" t="s">
        <v>3337</v>
      </c>
      <c r="F60" s="16">
        <v>0.2</v>
      </c>
      <c r="G60" s="14" t="s">
        <v>3338</v>
      </c>
      <c r="H60" s="1" t="s">
        <v>3339</v>
      </c>
    </row>
    <row r="61" spans="5:8" x14ac:dyDescent="0.2">
      <c r="E61" s="1" t="s">
        <v>3340</v>
      </c>
      <c r="F61" s="16">
        <v>0.15</v>
      </c>
      <c r="G61" s="14" t="s">
        <v>3341</v>
      </c>
      <c r="H61" s="1" t="s">
        <v>3342</v>
      </c>
    </row>
    <row r="62" spans="5:8" x14ac:dyDescent="0.2">
      <c r="E62" s="1" t="s">
        <v>3</v>
      </c>
      <c r="F62" s="16">
        <v>0.15</v>
      </c>
      <c r="G62" s="14" t="s">
        <v>3343</v>
      </c>
      <c r="H62" s="1" t="s">
        <v>3344</v>
      </c>
    </row>
    <row r="63" spans="5:8" x14ac:dyDescent="0.2">
      <c r="E63" s="1" t="s">
        <v>3345</v>
      </c>
      <c r="F63" s="16">
        <v>0.15</v>
      </c>
      <c r="G63" s="14" t="s">
        <v>3346</v>
      </c>
      <c r="H63" s="1" t="s">
        <v>3347</v>
      </c>
    </row>
    <row r="64" spans="5:8" x14ac:dyDescent="0.2">
      <c r="E64" s="1" t="s">
        <v>106</v>
      </c>
      <c r="F64" s="16">
        <v>0.15</v>
      </c>
      <c r="G64" s="14" t="s">
        <v>3348</v>
      </c>
      <c r="H64" s="1" t="s">
        <v>3349</v>
      </c>
    </row>
    <row r="66" spans="5:8" ht="15.5" customHeight="1" x14ac:dyDescent="0.2">
      <c r="E66" s="21" t="s">
        <v>3350</v>
      </c>
      <c r="F66" s="15"/>
      <c r="G66" s="15"/>
      <c r="H66" s="15"/>
    </row>
    <row r="67" spans="5:8" x14ac:dyDescent="0.2">
      <c r="E67" s="12" t="s">
        <v>82</v>
      </c>
      <c r="F67" s="12" t="s">
        <v>341</v>
      </c>
      <c r="G67" s="12" t="s">
        <v>931</v>
      </c>
      <c r="H67" s="12" t="s">
        <v>1</v>
      </c>
    </row>
    <row r="68" spans="5:8" x14ac:dyDescent="0.2">
      <c r="E68" s="1" t="s">
        <v>2285</v>
      </c>
      <c r="F68" s="16">
        <v>0.2</v>
      </c>
      <c r="G68" s="14" t="s">
        <v>3351</v>
      </c>
      <c r="H68" s="1" t="s">
        <v>3352</v>
      </c>
    </row>
    <row r="69" spans="5:8" x14ac:dyDescent="0.2">
      <c r="E69" s="1" t="s">
        <v>3353</v>
      </c>
      <c r="F69" s="16">
        <v>0.2</v>
      </c>
      <c r="G69" s="14" t="s">
        <v>3354</v>
      </c>
      <c r="H69" s="1" t="s">
        <v>3355</v>
      </c>
    </row>
    <row r="70" spans="5:8" x14ac:dyDescent="0.2">
      <c r="E70" s="1" t="s">
        <v>2277</v>
      </c>
      <c r="F70" s="16">
        <v>0.15</v>
      </c>
      <c r="G70" s="14" t="s">
        <v>966</v>
      </c>
      <c r="H70" s="1" t="s">
        <v>3356</v>
      </c>
    </row>
    <row r="71" spans="5:8" x14ac:dyDescent="0.2">
      <c r="E71" s="1" t="s">
        <v>3357</v>
      </c>
      <c r="F71" s="16">
        <v>0.15</v>
      </c>
      <c r="G71" s="14" t="s">
        <v>3358</v>
      </c>
      <c r="H71" s="1" t="s">
        <v>3359</v>
      </c>
    </row>
    <row r="72" spans="5:8" x14ac:dyDescent="0.2">
      <c r="E72" s="1" t="s">
        <v>3</v>
      </c>
      <c r="F72" s="16">
        <v>0.15</v>
      </c>
      <c r="G72" s="14" t="s">
        <v>3360</v>
      </c>
      <c r="H72" s="1" t="s">
        <v>3361</v>
      </c>
    </row>
    <row r="73" spans="5:8" x14ac:dyDescent="0.2">
      <c r="E73" s="1" t="s">
        <v>3362</v>
      </c>
      <c r="F73" s="16">
        <v>0.1</v>
      </c>
      <c r="G73" s="14" t="s">
        <v>3363</v>
      </c>
      <c r="H73" s="1" t="s">
        <v>3364</v>
      </c>
    </row>
    <row r="74" spans="5:8" x14ac:dyDescent="0.2">
      <c r="E74" s="1" t="s">
        <v>3365</v>
      </c>
      <c r="F74" s="16">
        <v>0.05</v>
      </c>
      <c r="G74" s="14" t="s">
        <v>3366</v>
      </c>
      <c r="H74" s="1" t="s">
        <v>3367</v>
      </c>
    </row>
    <row r="76" spans="5:8" x14ac:dyDescent="0.2">
      <c r="E76" s="117" t="s">
        <v>3368</v>
      </c>
      <c r="F76" s="117" t="s">
        <v>341</v>
      </c>
      <c r="G76" s="117" t="s">
        <v>1210</v>
      </c>
      <c r="H76" s="117" t="s">
        <v>1211</v>
      </c>
    </row>
    <row r="77" spans="5:8" x14ac:dyDescent="0.2">
      <c r="E77" s="105" t="s">
        <v>3369</v>
      </c>
      <c r="F77" s="106">
        <v>0.2</v>
      </c>
      <c r="G77" s="107" t="s">
        <v>3370</v>
      </c>
      <c r="H77" s="105" t="s">
        <v>3371</v>
      </c>
    </row>
    <row r="78" spans="5:8" x14ac:dyDescent="0.2">
      <c r="E78" s="105" t="s">
        <v>3372</v>
      </c>
      <c r="F78" s="106">
        <v>0.2</v>
      </c>
      <c r="G78" s="107" t="s">
        <v>3373</v>
      </c>
      <c r="H78" s="105" t="s">
        <v>3374</v>
      </c>
    </row>
    <row r="79" spans="5:8" x14ac:dyDescent="0.2">
      <c r="E79" s="105" t="s">
        <v>3375</v>
      </c>
      <c r="F79" s="106">
        <v>0.2</v>
      </c>
      <c r="G79" s="107" t="s">
        <v>3376</v>
      </c>
      <c r="H79" s="105" t="s">
        <v>3377</v>
      </c>
    </row>
    <row r="80" spans="5:8" x14ac:dyDescent="0.2">
      <c r="E80" s="105" t="s">
        <v>3378</v>
      </c>
      <c r="F80" s="106">
        <v>0.15</v>
      </c>
      <c r="G80" s="107" t="s">
        <v>3379</v>
      </c>
      <c r="H80" s="105" t="s">
        <v>3380</v>
      </c>
    </row>
    <row r="81" spans="5:8" x14ac:dyDescent="0.2">
      <c r="E81" s="105" t="s">
        <v>937</v>
      </c>
      <c r="F81" s="106">
        <v>0.15</v>
      </c>
      <c r="G81" s="107" t="s">
        <v>3381</v>
      </c>
      <c r="H81" s="105" t="s">
        <v>3382</v>
      </c>
    </row>
    <row r="82" spans="5:8" x14ac:dyDescent="0.2">
      <c r="E82" s="102" t="s">
        <v>3383</v>
      </c>
      <c r="F82" s="103">
        <v>0.1</v>
      </c>
      <c r="G82" s="104" t="s">
        <v>3384</v>
      </c>
      <c r="H82" s="102" t="s">
        <v>3385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J58"/>
  <sheetViews>
    <sheetView topLeftCell="I1" zoomScale="60" workbookViewId="0">
      <selection activeCell="I2" sqref="I2"/>
    </sheetView>
  </sheetViews>
  <sheetFormatPr baseColWidth="10" defaultColWidth="8.83203125" defaultRowHeight="15" x14ac:dyDescent="0.2"/>
  <cols>
    <col min="1" max="1" width="4.83203125" customWidth="1"/>
    <col min="2" max="3" width="5.5" customWidth="1"/>
    <col min="4" max="4" width="36.33203125" customWidth="1"/>
    <col min="5" max="5" width="3.1640625" customWidth="1"/>
    <col min="6" max="6" width="48.6640625" bestFit="1" customWidth="1"/>
    <col min="7" max="7" width="7.33203125" bestFit="1" customWidth="1"/>
    <col min="8" max="8" width="67.6640625" bestFit="1" customWidth="1"/>
    <col min="9" max="9" width="255.5" customWidth="1"/>
    <col min="10" max="10" width="13.6640625" bestFit="1" customWidth="1"/>
  </cols>
  <sheetData>
    <row r="2" spans="2:10" ht="18.5" customHeight="1" x14ac:dyDescent="0.25">
      <c r="B2" s="120" t="s">
        <v>669</v>
      </c>
      <c r="C2" s="1"/>
      <c r="D2" s="1"/>
      <c r="F2" s="90" t="s">
        <v>930</v>
      </c>
      <c r="G2" s="90" t="s">
        <v>341</v>
      </c>
      <c r="H2" s="90" t="s">
        <v>931</v>
      </c>
      <c r="I2" s="117" t="s">
        <v>1211</v>
      </c>
    </row>
    <row r="3" spans="2:10" x14ac:dyDescent="0.2">
      <c r="B3" s="1"/>
      <c r="C3" s="1"/>
      <c r="D3" s="1" t="s">
        <v>669</v>
      </c>
      <c r="E3" s="139"/>
      <c r="F3" s="102" t="s">
        <v>3386</v>
      </c>
      <c r="G3" s="114">
        <v>0.15</v>
      </c>
      <c r="H3" s="116" t="s">
        <v>3387</v>
      </c>
      <c r="I3" s="117" t="s">
        <v>3388</v>
      </c>
      <c r="J3" s="112" t="s">
        <v>1211</v>
      </c>
    </row>
    <row r="4" spans="2:10" x14ac:dyDescent="0.2">
      <c r="B4" s="1"/>
      <c r="C4" s="1">
        <v>1</v>
      </c>
      <c r="D4" s="1" t="s">
        <v>3389</v>
      </c>
      <c r="E4" s="139"/>
      <c r="F4" s="102" t="s">
        <v>3390</v>
      </c>
      <c r="G4" s="113">
        <v>0.2</v>
      </c>
      <c r="H4" s="115" t="s">
        <v>3391</v>
      </c>
      <c r="I4" s="105" t="s">
        <v>3392</v>
      </c>
    </row>
    <row r="5" spans="2:10" x14ac:dyDescent="0.2">
      <c r="B5" s="1"/>
      <c r="C5" s="1">
        <v>2</v>
      </c>
      <c r="D5" s="1" t="s">
        <v>3393</v>
      </c>
      <c r="E5" s="139"/>
      <c r="F5" s="102" t="s">
        <v>147</v>
      </c>
      <c r="G5" s="113">
        <v>0.15</v>
      </c>
      <c r="H5" s="115" t="s">
        <v>3394</v>
      </c>
      <c r="I5" s="105" t="s">
        <v>3395</v>
      </c>
    </row>
    <row r="6" spans="2:10" x14ac:dyDescent="0.2">
      <c r="B6" s="1"/>
      <c r="C6" s="1">
        <v>3</v>
      </c>
      <c r="D6" s="1" t="s">
        <v>3396</v>
      </c>
      <c r="E6" s="139"/>
      <c r="F6" s="102" t="s">
        <v>937</v>
      </c>
      <c r="G6" s="113">
        <v>0.15</v>
      </c>
      <c r="H6" s="115" t="s">
        <v>3397</v>
      </c>
      <c r="I6" s="105" t="s">
        <v>3398</v>
      </c>
    </row>
    <row r="7" spans="2:10" x14ac:dyDescent="0.2">
      <c r="B7" s="1"/>
      <c r="C7" s="1">
        <v>4</v>
      </c>
      <c r="D7" s="1" t="s">
        <v>3399</v>
      </c>
      <c r="E7" s="139"/>
      <c r="F7" s="102" t="s">
        <v>2</v>
      </c>
      <c r="G7" s="113">
        <v>0.15</v>
      </c>
      <c r="H7" s="115" t="s">
        <v>3400</v>
      </c>
      <c r="I7" s="105" t="s">
        <v>3401</v>
      </c>
    </row>
    <row r="8" spans="2:10" x14ac:dyDescent="0.2">
      <c r="B8" s="1"/>
      <c r="C8" s="1">
        <v>5</v>
      </c>
      <c r="D8" s="1" t="s">
        <v>3402</v>
      </c>
      <c r="E8" s="139"/>
      <c r="F8" s="102" t="s">
        <v>3403</v>
      </c>
      <c r="G8" s="113">
        <v>0.1</v>
      </c>
      <c r="H8" s="115" t="s">
        <v>3404</v>
      </c>
      <c r="I8" s="105" t="s">
        <v>3405</v>
      </c>
    </row>
    <row r="9" spans="2:10" x14ac:dyDescent="0.2">
      <c r="B9" s="1"/>
      <c r="C9" s="1">
        <v>6</v>
      </c>
      <c r="D9" s="1" t="s">
        <v>3406</v>
      </c>
      <c r="E9" s="125"/>
      <c r="F9" s="102" t="s">
        <v>3407</v>
      </c>
      <c r="G9" s="118">
        <v>0.1</v>
      </c>
      <c r="H9" s="119" t="s">
        <v>3408</v>
      </c>
      <c r="I9" s="102" t="s">
        <v>3409</v>
      </c>
    </row>
    <row r="11" spans="2:10" x14ac:dyDescent="0.2">
      <c r="F11" s="117" t="s">
        <v>3410</v>
      </c>
      <c r="G11" s="117" t="s">
        <v>341</v>
      </c>
      <c r="H11" s="117" t="s">
        <v>1210</v>
      </c>
      <c r="I11" s="117" t="s">
        <v>1211</v>
      </c>
    </row>
    <row r="12" spans="2:10" x14ac:dyDescent="0.2">
      <c r="F12" s="105" t="s">
        <v>3411</v>
      </c>
      <c r="G12" s="106">
        <v>0.15</v>
      </c>
      <c r="H12" s="107" t="s">
        <v>3412</v>
      </c>
      <c r="I12" s="105" t="s">
        <v>3413</v>
      </c>
    </row>
    <row r="13" spans="2:10" x14ac:dyDescent="0.2">
      <c r="F13" s="105" t="s">
        <v>3414</v>
      </c>
      <c r="G13" s="106">
        <v>0.15</v>
      </c>
      <c r="H13" s="107" t="s">
        <v>3415</v>
      </c>
      <c r="I13" s="105" t="s">
        <v>3416</v>
      </c>
    </row>
    <row r="14" spans="2:10" x14ac:dyDescent="0.2">
      <c r="F14" s="105" t="s">
        <v>1022</v>
      </c>
      <c r="G14" s="106">
        <v>0.2</v>
      </c>
      <c r="H14" s="107" t="s">
        <v>1023</v>
      </c>
      <c r="I14" s="105" t="s">
        <v>3417</v>
      </c>
    </row>
    <row r="15" spans="2:10" x14ac:dyDescent="0.2">
      <c r="F15" s="105" t="s">
        <v>937</v>
      </c>
      <c r="G15" s="106">
        <v>0.15</v>
      </c>
      <c r="H15" s="107" t="s">
        <v>3418</v>
      </c>
      <c r="I15" s="105" t="s">
        <v>3419</v>
      </c>
    </row>
    <row r="16" spans="2:10" x14ac:dyDescent="0.2">
      <c r="F16" s="105" t="s">
        <v>3420</v>
      </c>
      <c r="G16" s="106">
        <v>0.15</v>
      </c>
      <c r="H16" s="107" t="s">
        <v>3421</v>
      </c>
      <c r="I16" s="105" t="s">
        <v>3422</v>
      </c>
    </row>
    <row r="17" spans="4:9" x14ac:dyDescent="0.2">
      <c r="D17" t="s">
        <v>3423</v>
      </c>
      <c r="F17" s="105" t="s">
        <v>3424</v>
      </c>
      <c r="G17" s="106">
        <v>0.1</v>
      </c>
      <c r="H17" s="107" t="s">
        <v>3425</v>
      </c>
      <c r="I17" s="105" t="s">
        <v>3426</v>
      </c>
    </row>
    <row r="18" spans="4:9" x14ac:dyDescent="0.2">
      <c r="F18" s="102" t="s">
        <v>2</v>
      </c>
      <c r="G18" s="103">
        <v>0.1</v>
      </c>
      <c r="H18" s="104" t="s">
        <v>3397</v>
      </c>
      <c r="I18" s="102" t="s">
        <v>3427</v>
      </c>
    </row>
    <row r="20" spans="4:9" x14ac:dyDescent="0.2">
      <c r="F20" s="117" t="s">
        <v>3428</v>
      </c>
      <c r="G20" s="117" t="s">
        <v>341</v>
      </c>
      <c r="H20" s="117" t="s">
        <v>1210</v>
      </c>
      <c r="I20" s="117" t="s">
        <v>1211</v>
      </c>
    </row>
    <row r="21" spans="4:9" x14ac:dyDescent="0.2">
      <c r="F21" s="105" t="s">
        <v>3429</v>
      </c>
      <c r="G21" s="106">
        <v>0.2</v>
      </c>
      <c r="H21" s="107" t="s">
        <v>3430</v>
      </c>
      <c r="I21" s="105" t="s">
        <v>3431</v>
      </c>
    </row>
    <row r="22" spans="4:9" x14ac:dyDescent="0.2">
      <c r="F22" s="105" t="s">
        <v>3432</v>
      </c>
      <c r="G22" s="106">
        <v>0.2</v>
      </c>
      <c r="H22" s="107" t="s">
        <v>3433</v>
      </c>
      <c r="I22" s="105" t="s">
        <v>3434</v>
      </c>
    </row>
    <row r="23" spans="4:9" x14ac:dyDescent="0.2">
      <c r="F23" s="105" t="s">
        <v>3435</v>
      </c>
      <c r="G23" s="106">
        <v>0.15</v>
      </c>
      <c r="H23" s="107" t="s">
        <v>3436</v>
      </c>
      <c r="I23" s="105" t="s">
        <v>3437</v>
      </c>
    </row>
    <row r="24" spans="4:9" x14ac:dyDescent="0.2">
      <c r="F24" s="105" t="s">
        <v>937</v>
      </c>
      <c r="G24" s="106">
        <v>0.15</v>
      </c>
      <c r="H24" s="107" t="s">
        <v>3438</v>
      </c>
      <c r="I24" s="105" t="s">
        <v>3439</v>
      </c>
    </row>
    <row r="25" spans="4:9" x14ac:dyDescent="0.2">
      <c r="F25" s="105" t="s">
        <v>3440</v>
      </c>
      <c r="G25" s="106">
        <v>0.15</v>
      </c>
      <c r="H25" s="107" t="s">
        <v>3441</v>
      </c>
      <c r="I25" s="105" t="s">
        <v>3442</v>
      </c>
    </row>
    <row r="26" spans="4:9" x14ac:dyDescent="0.2">
      <c r="F26" s="102" t="s">
        <v>3443</v>
      </c>
      <c r="G26" s="103">
        <v>0.15</v>
      </c>
      <c r="H26" s="104" t="s">
        <v>3444</v>
      </c>
      <c r="I26" s="102" t="s">
        <v>3445</v>
      </c>
    </row>
    <row r="28" spans="4:9" x14ac:dyDescent="0.2">
      <c r="F28" s="117" t="s">
        <v>3446</v>
      </c>
      <c r="G28" s="117" t="s">
        <v>341</v>
      </c>
      <c r="H28" s="117" t="s">
        <v>1210</v>
      </c>
      <c r="I28" s="117" t="s">
        <v>1211</v>
      </c>
    </row>
    <row r="29" spans="4:9" x14ac:dyDescent="0.2">
      <c r="F29" s="105" t="s">
        <v>3447</v>
      </c>
      <c r="G29" s="106">
        <v>0.2</v>
      </c>
      <c r="H29" s="107" t="s">
        <v>3448</v>
      </c>
      <c r="I29" s="105" t="s">
        <v>3449</v>
      </c>
    </row>
    <row r="30" spans="4:9" x14ac:dyDescent="0.2">
      <c r="F30" s="105" t="s">
        <v>3450</v>
      </c>
      <c r="G30" s="106">
        <v>0.2</v>
      </c>
      <c r="H30" s="107" t="s">
        <v>3451</v>
      </c>
      <c r="I30" s="105" t="s">
        <v>3452</v>
      </c>
    </row>
    <row r="31" spans="4:9" x14ac:dyDescent="0.2">
      <c r="F31" s="105" t="s">
        <v>933</v>
      </c>
      <c r="G31" s="106">
        <v>0.15</v>
      </c>
      <c r="H31" s="107" t="s">
        <v>3453</v>
      </c>
      <c r="I31" s="105" t="s">
        <v>3454</v>
      </c>
    </row>
    <row r="32" spans="4:9" x14ac:dyDescent="0.2">
      <c r="F32" s="105" t="s">
        <v>937</v>
      </c>
      <c r="G32" s="106">
        <v>0.15</v>
      </c>
      <c r="H32" s="107" t="s">
        <v>3455</v>
      </c>
      <c r="I32" s="105" t="s">
        <v>3456</v>
      </c>
    </row>
    <row r="33" spans="6:9" x14ac:dyDescent="0.2">
      <c r="F33" s="105" t="s">
        <v>3457</v>
      </c>
      <c r="G33" s="106">
        <v>0.15</v>
      </c>
      <c r="H33" s="107" t="s">
        <v>3458</v>
      </c>
      <c r="I33" s="105" t="s">
        <v>3459</v>
      </c>
    </row>
    <row r="34" spans="6:9" x14ac:dyDescent="0.2">
      <c r="F34" s="102" t="s">
        <v>3460</v>
      </c>
      <c r="G34" s="103">
        <v>0.15</v>
      </c>
      <c r="H34" s="104" t="s">
        <v>3461</v>
      </c>
      <c r="I34" s="102" t="s">
        <v>3462</v>
      </c>
    </row>
    <row r="36" spans="6:9" x14ac:dyDescent="0.2">
      <c r="F36" s="117" t="s">
        <v>3463</v>
      </c>
      <c r="G36" s="117" t="s">
        <v>341</v>
      </c>
      <c r="H36" s="117" t="s">
        <v>1210</v>
      </c>
      <c r="I36" s="117" t="s">
        <v>1211</v>
      </c>
    </row>
    <row r="37" spans="6:9" x14ac:dyDescent="0.2">
      <c r="F37" s="105" t="s">
        <v>3464</v>
      </c>
      <c r="G37" s="106">
        <v>0.2</v>
      </c>
      <c r="H37" s="107" t="s">
        <v>3465</v>
      </c>
      <c r="I37" s="105" t="s">
        <v>3466</v>
      </c>
    </row>
    <row r="38" spans="6:9" x14ac:dyDescent="0.2">
      <c r="F38" s="105" t="s">
        <v>937</v>
      </c>
      <c r="G38" s="106">
        <v>0.15</v>
      </c>
      <c r="H38" s="107" t="s">
        <v>3467</v>
      </c>
      <c r="I38" s="105" t="s">
        <v>3468</v>
      </c>
    </row>
    <row r="39" spans="6:9" x14ac:dyDescent="0.2">
      <c r="F39" s="105" t="s">
        <v>3469</v>
      </c>
      <c r="G39" s="106">
        <v>0.2</v>
      </c>
      <c r="H39" s="107" t="s">
        <v>3470</v>
      </c>
      <c r="I39" s="105" t="s">
        <v>3471</v>
      </c>
    </row>
    <row r="40" spans="6:9" x14ac:dyDescent="0.2">
      <c r="F40" s="105" t="s">
        <v>3472</v>
      </c>
      <c r="G40" s="106">
        <v>0.2</v>
      </c>
      <c r="H40" s="107" t="s">
        <v>3473</v>
      </c>
      <c r="I40" s="105" t="s">
        <v>3474</v>
      </c>
    </row>
    <row r="41" spans="6:9" x14ac:dyDescent="0.2">
      <c r="F41" s="105" t="s">
        <v>3475</v>
      </c>
      <c r="G41" s="106">
        <v>0.15</v>
      </c>
      <c r="H41" s="107" t="s">
        <v>3476</v>
      </c>
      <c r="I41" s="105" t="s">
        <v>3477</v>
      </c>
    </row>
    <row r="42" spans="6:9" x14ac:dyDescent="0.2">
      <c r="F42" s="102" t="s">
        <v>3478</v>
      </c>
      <c r="G42" s="103">
        <v>0.1</v>
      </c>
      <c r="H42" s="104" t="s">
        <v>3479</v>
      </c>
      <c r="I42" s="102" t="s">
        <v>3480</v>
      </c>
    </row>
    <row r="44" spans="6:9" x14ac:dyDescent="0.2">
      <c r="F44" s="117" t="s">
        <v>3481</v>
      </c>
      <c r="G44" s="117" t="s">
        <v>341</v>
      </c>
      <c r="H44" s="117" t="s">
        <v>1210</v>
      </c>
      <c r="I44" s="117" t="s">
        <v>1211</v>
      </c>
    </row>
    <row r="45" spans="6:9" x14ac:dyDescent="0.2">
      <c r="F45" s="105" t="s">
        <v>3482</v>
      </c>
      <c r="G45" s="106">
        <v>0.2</v>
      </c>
      <c r="H45" s="107" t="s">
        <v>3483</v>
      </c>
      <c r="I45" s="105" t="s">
        <v>3484</v>
      </c>
    </row>
    <row r="46" spans="6:9" x14ac:dyDescent="0.2">
      <c r="F46" s="105" t="s">
        <v>937</v>
      </c>
      <c r="G46" s="106">
        <v>0.15</v>
      </c>
      <c r="H46" s="107" t="s">
        <v>3485</v>
      </c>
      <c r="I46" s="105" t="s">
        <v>3486</v>
      </c>
    </row>
    <row r="47" spans="6:9" x14ac:dyDescent="0.2">
      <c r="F47" s="105" t="s">
        <v>3487</v>
      </c>
      <c r="G47" s="106">
        <v>0.2</v>
      </c>
      <c r="H47" s="107" t="s">
        <v>3488</v>
      </c>
      <c r="I47" s="105" t="s">
        <v>3489</v>
      </c>
    </row>
    <row r="48" spans="6:9" x14ac:dyDescent="0.2">
      <c r="F48" s="105" t="s">
        <v>3490</v>
      </c>
      <c r="G48" s="106">
        <v>0.15</v>
      </c>
      <c r="H48" s="107" t="s">
        <v>3491</v>
      </c>
      <c r="I48" s="105" t="s">
        <v>3492</v>
      </c>
    </row>
    <row r="49" spans="6:9" x14ac:dyDescent="0.2">
      <c r="F49" s="105" t="s">
        <v>3493</v>
      </c>
      <c r="G49" s="106">
        <v>0.15</v>
      </c>
      <c r="H49" s="107" t="s">
        <v>3494</v>
      </c>
      <c r="I49" s="105" t="s">
        <v>3495</v>
      </c>
    </row>
    <row r="50" spans="6:9" x14ac:dyDescent="0.2">
      <c r="F50" s="102" t="s">
        <v>2</v>
      </c>
      <c r="G50" s="103">
        <v>0.15</v>
      </c>
      <c r="H50" s="104" t="s">
        <v>3496</v>
      </c>
      <c r="I50" s="102" t="s">
        <v>3497</v>
      </c>
    </row>
    <row r="52" spans="6:9" x14ac:dyDescent="0.2">
      <c r="F52" s="117" t="s">
        <v>3498</v>
      </c>
      <c r="G52" s="117" t="s">
        <v>341</v>
      </c>
      <c r="H52" s="117" t="s">
        <v>1210</v>
      </c>
      <c r="I52" s="117" t="s">
        <v>1211</v>
      </c>
    </row>
    <row r="53" spans="6:9" x14ac:dyDescent="0.2">
      <c r="F53" s="105" t="s">
        <v>933</v>
      </c>
      <c r="G53" s="106">
        <v>0.15</v>
      </c>
      <c r="H53" s="107" t="s">
        <v>3499</v>
      </c>
      <c r="I53" s="105" t="s">
        <v>3500</v>
      </c>
    </row>
    <row r="54" spans="6:9" x14ac:dyDescent="0.2">
      <c r="F54" s="105" t="s">
        <v>3501</v>
      </c>
      <c r="G54" s="106">
        <v>0.2</v>
      </c>
      <c r="H54" s="107" t="s">
        <v>3502</v>
      </c>
      <c r="I54" s="105" t="s">
        <v>3503</v>
      </c>
    </row>
    <row r="55" spans="6:9" x14ac:dyDescent="0.2">
      <c r="F55" s="105" t="s">
        <v>3504</v>
      </c>
      <c r="G55" s="106">
        <v>0.2</v>
      </c>
      <c r="H55" s="107" t="s">
        <v>3505</v>
      </c>
      <c r="I55" s="105" t="s">
        <v>3506</v>
      </c>
    </row>
    <row r="56" spans="6:9" x14ac:dyDescent="0.2">
      <c r="F56" s="105" t="s">
        <v>3507</v>
      </c>
      <c r="G56" s="106">
        <v>0.15</v>
      </c>
      <c r="H56" s="107" t="s">
        <v>3508</v>
      </c>
      <c r="I56" s="105" t="s">
        <v>3509</v>
      </c>
    </row>
    <row r="57" spans="6:9" x14ac:dyDescent="0.2">
      <c r="F57" s="105" t="s">
        <v>412</v>
      </c>
      <c r="G57" s="106">
        <v>0.15</v>
      </c>
      <c r="H57" s="107" t="s">
        <v>3510</v>
      </c>
      <c r="I57" s="105" t="s">
        <v>3511</v>
      </c>
    </row>
    <row r="58" spans="6:9" x14ac:dyDescent="0.2">
      <c r="F58" s="102" t="s">
        <v>1642</v>
      </c>
      <c r="G58" s="103">
        <v>0.15</v>
      </c>
      <c r="H58" s="104" t="s">
        <v>3512</v>
      </c>
      <c r="I58" s="102" t="s">
        <v>3513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Super Master Prompt</vt:lpstr>
      <vt:lpstr>common parameters</vt:lpstr>
      <vt:lpstr>Qualitative Guide</vt:lpstr>
      <vt:lpstr>sector names</vt:lpstr>
      <vt:lpstr>Qualitative Framework</vt:lpstr>
      <vt:lpstr>Chemicals</vt:lpstr>
      <vt:lpstr>Construction Materials</vt:lpstr>
      <vt:lpstr>Metals &amp; Mining</vt:lpstr>
      <vt:lpstr>Forest Materials</vt:lpstr>
      <vt:lpstr>Automobile &amp; Auto Components</vt:lpstr>
      <vt:lpstr>Consumer Durables</vt:lpstr>
      <vt:lpstr>Textiles</vt:lpstr>
      <vt:lpstr>Media, Entertain. &amp; Pub.</vt:lpstr>
      <vt:lpstr>Realty</vt:lpstr>
      <vt:lpstr>Consumer Services</vt:lpstr>
      <vt:lpstr>Oil, Gas &amp; Consumable Fuels</vt:lpstr>
      <vt:lpstr>Fast Moving Consumer Goods (FMC</vt:lpstr>
      <vt:lpstr>Financial Services</vt:lpstr>
      <vt:lpstr>Healthcare</vt:lpstr>
      <vt:lpstr>Construction</vt:lpstr>
      <vt:lpstr>Capital Goods</vt:lpstr>
      <vt:lpstr>Information Technology</vt:lpstr>
      <vt:lpstr>Services</vt:lpstr>
      <vt:lpstr>Telecommunication</vt:lpstr>
      <vt:lpstr>Power</vt:lpstr>
      <vt:lpstr>Diversified</vt:lpstr>
      <vt:lpstr>Utilities</vt:lpstr>
      <vt:lpstr>Agriculture &amp; Agri-Business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Barath Narayanan - 246101080 - DOCBLR</cp:lastModifiedBy>
  <dcterms:created xsi:type="dcterms:W3CDTF">2015-06-05T18:17:20Z</dcterms:created>
  <dcterms:modified xsi:type="dcterms:W3CDTF">2026-07-20T09:48:05Z</dcterms:modified>
</cp:coreProperties>
</file>